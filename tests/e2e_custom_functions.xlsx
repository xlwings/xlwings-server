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felix/dev/xlwings-server/tests/"/>
    </mc:Choice>
  </mc:AlternateContent>
  <xr:revisionPtr revIDLastSave="0" documentId="13_ncr:1_{7DA1B36F-02DA-5341-9468-C282CB9F5353}" xr6:coauthVersionLast="47" xr6:coauthVersionMax="47" xr10:uidLastSave="{00000000-0000-0000-0000-000000000000}"/>
  <bookViews>
    <workbookView xWindow="900" yWindow="780" windowWidth="33300" windowHeight="213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2" i="1" l="1" a="1"/>
  <c r="G412" i="1" s="1"/>
  <c r="A412" i="1" s="1"/>
  <c r="F409" i="1" a="1"/>
  <c r="G409" i="1" s="1"/>
  <c r="A409" i="1" s="1"/>
  <c r="F407" i="1" a="1"/>
  <c r="F406" i="1" a="1"/>
  <c r="G337" i="1" a="1"/>
  <c r="G402" i="1" a="1"/>
  <c r="A402" i="1" s="1"/>
  <c r="G398" i="1" a="1"/>
  <c r="G394" i="1" a="1"/>
  <c r="G390" i="1" a="1"/>
  <c r="A390" i="1" s="1"/>
  <c r="G386" i="1" a="1"/>
  <c r="A386" i="1" s="1"/>
  <c r="G383" i="1" a="1"/>
  <c r="A383" i="1" s="1"/>
  <c r="G380" i="1" a="1"/>
  <c r="A380" i="1" s="1"/>
  <c r="G378" i="1" a="1"/>
  <c r="A378" i="1" s="1"/>
  <c r="G375" i="1" a="1"/>
  <c r="A375" i="1" s="1"/>
  <c r="G373" i="1" a="1"/>
  <c r="A373" i="1" s="1"/>
  <c r="G371" i="1" a="1"/>
  <c r="A371" i="1" s="1"/>
  <c r="G369" i="1" a="1"/>
  <c r="A369" i="1" s="1"/>
  <c r="G367" i="1" a="1"/>
  <c r="A367" i="1" s="1"/>
  <c r="G365" i="1" a="1"/>
  <c r="A365" i="1" s="1"/>
  <c r="G363" i="1" a="1"/>
  <c r="A363" i="1" s="1"/>
  <c r="G361" i="1" a="1"/>
  <c r="A361" i="1" s="1"/>
  <c r="G355" i="1" a="1"/>
  <c r="G353" i="1" a="1"/>
  <c r="A353" i="1" s="1"/>
  <c r="G351" i="1" a="1"/>
  <c r="A351" i="1" s="1"/>
  <c r="G349" i="1" a="1"/>
  <c r="H349" i="1" s="1"/>
  <c r="A349" i="1" s="1"/>
  <c r="G326" i="1" a="1"/>
  <c r="A326" i="1" s="1"/>
  <c r="G318" i="1" a="1"/>
  <c r="G316" i="1" a="1"/>
  <c r="H316" i="1" s="1"/>
  <c r="A316" i="1" s="1"/>
  <c r="G314" i="1" a="1"/>
  <c r="H314" i="1" s="1"/>
  <c r="A314" i="1" s="1"/>
  <c r="G310" i="1" a="1"/>
  <c r="G307" i="1" a="1"/>
  <c r="G303" i="1" a="1"/>
  <c r="G299" i="1" a="1"/>
  <c r="G295" i="1" a="1"/>
  <c r="H295" i="1" s="1"/>
  <c r="A295" i="1" s="1"/>
  <c r="G291" i="1" a="1"/>
  <c r="H291" i="1" s="1"/>
  <c r="A291" i="1" s="1"/>
  <c r="G284" i="1" a="1"/>
  <c r="H284" i="1" s="1"/>
  <c r="A284" i="1" s="1"/>
  <c r="G282" i="1" a="1"/>
  <c r="H282" i="1" s="1"/>
  <c r="A282" i="1" s="1"/>
  <c r="G281" i="1" a="1"/>
  <c r="H281" i="1" s="1"/>
  <c r="A281" i="1" s="1"/>
  <c r="G279" i="1" a="1"/>
  <c r="G277" i="1" a="1"/>
  <c r="H277" i="1" s="1"/>
  <c r="A277" i="1" s="1"/>
  <c r="G273" i="1" a="1"/>
  <c r="G263" i="1" a="1"/>
  <c r="G256" i="1" a="1"/>
  <c r="H256" i="1" s="1"/>
  <c r="A256" i="1" s="1"/>
  <c r="G250" i="1" a="1"/>
  <c r="G234" i="1" a="1"/>
  <c r="G221" i="1" a="1"/>
  <c r="G210" i="1" a="1"/>
  <c r="G199" i="1" a="1"/>
  <c r="G193" i="1" a="1"/>
  <c r="H193" i="1" s="1"/>
  <c r="A193" i="1" s="1"/>
  <c r="G189" i="1" a="1"/>
  <c r="G180" i="1" a="1"/>
  <c r="G175" i="1" a="1"/>
  <c r="H175" i="1" s="1"/>
  <c r="A175" i="1" s="1"/>
  <c r="G171" i="1" a="1"/>
  <c r="G164" i="1" a="1"/>
  <c r="H164" i="1" s="1"/>
  <c r="A164" i="1" s="1"/>
  <c r="G161" i="1" a="1"/>
  <c r="G158" i="1" a="1"/>
  <c r="H158" i="1" s="1"/>
  <c r="A158" i="1" s="1"/>
  <c r="G154" i="1" a="1"/>
  <c r="G150" i="1" a="1"/>
  <c r="H150" i="1" s="1"/>
  <c r="A150" i="1" s="1"/>
  <c r="G147" i="1" a="1"/>
  <c r="G144" i="1" a="1"/>
  <c r="H144" i="1" s="1"/>
  <c r="A144" i="1" s="1"/>
  <c r="G140" i="1" a="1"/>
  <c r="G132" i="1" a="1"/>
  <c r="G128" i="1" a="1"/>
  <c r="G124" i="1" a="1"/>
  <c r="G121" i="1" a="1"/>
  <c r="G118" i="1" a="1"/>
  <c r="G110" i="1" a="1"/>
  <c r="H110" i="1" s="1"/>
  <c r="A110" i="1" s="1"/>
  <c r="G106" i="1" a="1"/>
  <c r="H106" i="1" s="1"/>
  <c r="A106" i="1" s="1"/>
  <c r="G103" i="1" a="1"/>
  <c r="H103" i="1" s="1"/>
  <c r="A103" i="1" s="1"/>
  <c r="G100" i="1" a="1"/>
  <c r="H100" i="1" s="1"/>
  <c r="A100" i="1" s="1"/>
  <c r="G98" i="1" a="1"/>
  <c r="H98" i="1" s="1"/>
  <c r="A98" i="1" s="1"/>
  <c r="G94" i="1" a="1"/>
  <c r="H94" i="1" s="1"/>
  <c r="A94" i="1" s="1"/>
  <c r="G92" i="1" a="1"/>
  <c r="H92" i="1" s="1"/>
  <c r="A92" i="1" s="1"/>
  <c r="G89" i="1" a="1"/>
  <c r="G86" i="1" a="1"/>
  <c r="H86" i="1" s="1"/>
  <c r="A86" i="1" s="1"/>
  <c r="G84" i="1" a="1"/>
  <c r="H84" i="1" s="1"/>
  <c r="A84" i="1" s="1"/>
  <c r="G82" i="1" a="1"/>
  <c r="H82" i="1" s="1"/>
  <c r="A82" i="1" s="1"/>
  <c r="G79" i="1" a="1"/>
  <c r="H79" i="1" s="1"/>
  <c r="A79" i="1" s="1"/>
  <c r="G77" i="1" a="1"/>
  <c r="H77" i="1" s="1"/>
  <c r="A77" i="1" s="1"/>
  <c r="G73" i="1"/>
  <c r="H73" i="1" s="1"/>
  <c r="A73" i="1" s="1"/>
  <c r="G70" i="1" a="1"/>
  <c r="G67" i="1" a="1"/>
  <c r="H67" i="1" s="1"/>
  <c r="A67" i="1" s="1"/>
  <c r="G64" i="1" a="1"/>
  <c r="H64" i="1" s="1"/>
  <c r="A64" i="1" s="1"/>
  <c r="G58" i="1" a="1"/>
  <c r="H58" i="1" s="1"/>
  <c r="A58" i="1" s="1"/>
  <c r="G55" i="1" a="1"/>
  <c r="H55" i="1" s="1"/>
  <c r="A55" i="1" s="1"/>
  <c r="G52" i="1" a="1"/>
  <c r="H52" i="1" s="1"/>
  <c r="A52" i="1" s="1"/>
  <c r="G49" i="1" a="1"/>
  <c r="G46" i="1" a="1"/>
  <c r="H46" i="1" s="1"/>
  <c r="A46" i="1" s="1"/>
  <c r="G44" i="1" a="1"/>
  <c r="H44" i="1" s="1"/>
  <c r="A44" i="1" s="1"/>
  <c r="G42" i="1" a="1"/>
  <c r="H42" i="1" s="1"/>
  <c r="A42" i="1" s="1"/>
  <c r="G39" i="1" a="1"/>
  <c r="G36" i="1" a="1"/>
  <c r="H36" i="1" s="1"/>
  <c r="A36" i="1" s="1"/>
  <c r="G33" i="1" a="1"/>
  <c r="G30" i="1" a="1"/>
  <c r="H30" i="1" s="1"/>
  <c r="A30" i="1" s="1"/>
  <c r="G28" i="1" a="1"/>
  <c r="G26" i="1" a="1"/>
  <c r="H26" i="1" s="1"/>
  <c r="A26" i="1" s="1"/>
  <c r="G24" i="1" a="1"/>
  <c r="H24" i="1" s="1"/>
  <c r="A24" i="1" s="1"/>
  <c r="G22" i="1" a="1"/>
  <c r="H22" i="1" s="1"/>
  <c r="A22" i="1" s="1"/>
  <c r="G20" i="1" a="1"/>
  <c r="H20" i="1" s="1"/>
  <c r="A20" i="1" s="1"/>
  <c r="G18" i="1" a="1"/>
  <c r="H18" i="1" s="1"/>
  <c r="A18" i="1" s="1"/>
  <c r="G14" i="1" a="1"/>
  <c r="H14" i="1" s="1"/>
  <c r="A14" i="1" s="1"/>
  <c r="G12" i="1" a="1"/>
  <c r="H12" i="1" s="1"/>
  <c r="G11" i="1" a="1"/>
  <c r="H11" i="1" s="1"/>
  <c r="G9" i="1" a="1"/>
  <c r="H9" i="1" s="1"/>
  <c r="A9" i="1" s="1"/>
  <c r="G7" i="1" a="1"/>
  <c r="H7" i="1" s="1"/>
  <c r="G6" i="1" a="1"/>
  <c r="H6" i="1" s="1"/>
  <c r="E332" i="1"/>
  <c r="G332" i="1" s="1" a="1"/>
  <c r="C321" i="1"/>
  <c r="G321" i="1" s="1" a="1"/>
  <c r="D136" i="1"/>
  <c r="G136" i="1" s="1" a="1"/>
  <c r="E299" i="1"/>
  <c r="D299" i="1"/>
  <c r="D287" i="1"/>
  <c r="C287" i="1"/>
  <c r="C273" i="1"/>
  <c r="B269" i="1"/>
  <c r="G268" i="1" s="1" a="1"/>
  <c r="B251" i="1"/>
  <c r="C251" i="1"/>
  <c r="C250" i="1"/>
  <c r="B250" i="1"/>
  <c r="C244" i="1"/>
  <c r="C243" i="1"/>
  <c r="B244" i="1"/>
  <c r="B243" i="1"/>
  <c r="C234" i="1"/>
  <c r="B234" i="1"/>
  <c r="C227" i="1"/>
  <c r="B227" i="1"/>
  <c r="C222" i="1"/>
  <c r="C221" i="1"/>
  <c r="B217" i="1"/>
  <c r="B216" i="1"/>
  <c r="C210" i="1"/>
  <c r="B205" i="1"/>
  <c r="G204" i="1" s="1" a="1"/>
  <c r="C189" i="1"/>
  <c r="B185" i="1"/>
  <c r="G184" i="1" s="1" a="1"/>
  <c r="E140" i="1"/>
  <c r="D114" i="1"/>
  <c r="G114" i="1" s="1" a="1"/>
  <c r="D96" i="1"/>
  <c r="G96" i="1" s="1" a="1"/>
  <c r="D76" i="1"/>
  <c r="G75" i="1" s="1" a="1"/>
  <c r="D62" i="1"/>
  <c r="E61" i="1"/>
  <c r="D16" i="1"/>
  <c r="G16" i="1" s="1" a="1"/>
  <c r="J398" i="1" l="1" a="1"/>
  <c r="A398" i="1" s="1"/>
  <c r="J394" i="1" a="1"/>
  <c r="A394" i="1" s="1"/>
  <c r="K355" i="1"/>
  <c r="I318" i="1"/>
  <c r="K310" i="1"/>
  <c r="K303" i="1"/>
  <c r="L263" i="1"/>
  <c r="K210" i="1"/>
  <c r="K180" i="1"/>
  <c r="I70" i="1"/>
  <c r="J161" i="1"/>
  <c r="I147" i="1"/>
  <c r="I132" i="1"/>
  <c r="H124" i="1"/>
  <c r="I121" i="1"/>
  <c r="H118" i="1"/>
  <c r="I89" i="1"/>
  <c r="I49" i="1"/>
  <c r="I39" i="1"/>
  <c r="H33" i="1"/>
  <c r="I28" i="1"/>
  <c r="G406" i="1" a="1"/>
  <c r="A406" i="1" s="1"/>
  <c r="G61" i="1" a="1"/>
  <c r="H61" i="1" s="1"/>
  <c r="A61" i="1" s="1"/>
  <c r="G226" i="1" a="1"/>
  <c r="H226" i="1" s="1"/>
  <c r="A226" i="1" s="1"/>
  <c r="G215" i="1" a="1"/>
  <c r="H215" i="1" s="1"/>
  <c r="A215" i="1" s="1"/>
  <c r="G242" i="1" a="1"/>
  <c r="H242" i="1" s="1"/>
  <c r="A242" i="1" s="1"/>
  <c r="G286" i="1" a="1"/>
  <c r="H286" i="1" s="1"/>
  <c r="A286" i="1" s="1"/>
  <c r="G345" i="1" a="1"/>
  <c r="A345" i="1" s="1"/>
  <c r="G347" i="1" a="1"/>
  <c r="A347" i="1" s="1"/>
  <c r="M358" i="1"/>
  <c r="L358" i="1"/>
  <c r="M357" i="1"/>
  <c r="L357" i="1"/>
  <c r="M356" i="1"/>
  <c r="K358" i="1"/>
  <c r="L356" i="1"/>
  <c r="K357" i="1"/>
  <c r="M355" i="1"/>
  <c r="K356" i="1"/>
  <c r="L355" i="1"/>
  <c r="A321" i="1"/>
  <c r="H337" i="1"/>
  <c r="A332" i="1"/>
  <c r="H96" i="1"/>
  <c r="A96" i="1" s="1"/>
  <c r="H75" i="1"/>
  <c r="A75" i="1" s="1"/>
  <c r="H114" i="1"/>
  <c r="A114" i="1" s="1"/>
  <c r="H136" i="1"/>
  <c r="A136" i="1" s="1"/>
  <c r="H204" i="1"/>
  <c r="A204" i="1" s="1"/>
  <c r="H16" i="1"/>
  <c r="A16" i="1" s="1"/>
  <c r="H184" i="1"/>
  <c r="A184" i="1" s="1"/>
  <c r="H268" i="1"/>
  <c r="A268" i="1" s="1"/>
  <c r="H342" i="1"/>
  <c r="H340" i="1"/>
  <c r="H341" i="1"/>
  <c r="H339" i="1"/>
  <c r="H343" i="1"/>
  <c r="H338" i="1"/>
  <c r="K311" i="1"/>
  <c r="J318" i="1"/>
  <c r="I319" i="1"/>
  <c r="J319" i="1"/>
  <c r="I140" i="1"/>
  <c r="L250" i="1"/>
  <c r="L234" i="1"/>
  <c r="K221" i="1"/>
  <c r="K189" i="1"/>
  <c r="K299" i="1"/>
  <c r="M300" i="1"/>
  <c r="M299" i="1"/>
  <c r="K300" i="1"/>
  <c r="M301" i="1"/>
  <c r="K301" i="1"/>
  <c r="L300" i="1"/>
  <c r="K273" i="1"/>
  <c r="K274" i="1"/>
  <c r="L171" i="1"/>
  <c r="O173" i="1"/>
  <c r="J199" i="1"/>
  <c r="L200" i="1"/>
  <c r="I154" i="1"/>
  <c r="J155" i="1"/>
  <c r="I128" i="1"/>
  <c r="J128" i="1"/>
  <c r="I129" i="1"/>
  <c r="K307" i="1"/>
  <c r="M307" i="1"/>
  <c r="M275" i="1"/>
  <c r="L299" i="1"/>
  <c r="N190" i="1"/>
  <c r="N274" i="1"/>
  <c r="M189" i="1"/>
  <c r="I133" i="1"/>
  <c r="K191" i="1"/>
  <c r="N181" i="1"/>
  <c r="M273" i="1"/>
  <c r="K181" i="1"/>
  <c r="I122" i="1"/>
  <c r="K199" i="1"/>
  <c r="P234" i="1"/>
  <c r="M191" i="1"/>
  <c r="N275" i="1"/>
  <c r="L180" i="1"/>
  <c r="N273" i="1"/>
  <c r="K201" i="1"/>
  <c r="L190" i="1"/>
  <c r="M190" i="1"/>
  <c r="J200" i="1"/>
  <c r="J132" i="1"/>
  <c r="I134" i="1"/>
  <c r="L191" i="1"/>
  <c r="K200" i="1"/>
  <c r="J134" i="1"/>
  <c r="J71" i="1"/>
  <c r="L201" i="1"/>
  <c r="L189" i="1"/>
  <c r="J202" i="1"/>
  <c r="K275" i="1"/>
  <c r="M274" i="1"/>
  <c r="K190" i="1"/>
  <c r="H279" i="1"/>
  <c r="A279" i="1" s="1"/>
  <c r="L251" i="1"/>
  <c r="P250" i="1"/>
  <c r="M252" i="1"/>
  <c r="O250" i="1"/>
  <c r="L252" i="1"/>
  <c r="M250" i="1"/>
  <c r="P254" i="1"/>
  <c r="M253" i="1"/>
  <c r="P251" i="1"/>
  <c r="N251" i="1"/>
  <c r="N252" i="1"/>
  <c r="O252" i="1"/>
  <c r="L213" i="1"/>
  <c r="N211" i="1"/>
  <c r="M212" i="1"/>
  <c r="M210" i="1"/>
  <c r="M305" i="1"/>
  <c r="P171" i="1"/>
  <c r="K308" i="1"/>
  <c r="L211" i="1"/>
  <c r="M303" i="1"/>
  <c r="K211" i="1"/>
  <c r="M171" i="1"/>
  <c r="M211" i="1"/>
  <c r="L305" i="1"/>
  <c r="O172" i="1"/>
  <c r="M308" i="1"/>
  <c r="N213" i="1"/>
  <c r="K304" i="1"/>
  <c r="N210" i="1"/>
  <c r="M213" i="1"/>
  <c r="P172" i="1"/>
  <c r="L308" i="1"/>
  <c r="L210" i="1"/>
  <c r="L304" i="1"/>
  <c r="K223" i="1"/>
  <c r="L224" i="1"/>
  <c r="L222" i="1"/>
  <c r="N221" i="1"/>
  <c r="P265" i="1"/>
  <c r="N235" i="1"/>
  <c r="L237" i="1"/>
  <c r="O264" i="1"/>
  <c r="M223" i="1"/>
  <c r="O237" i="1"/>
  <c r="N266" i="1"/>
  <c r="N224" i="1"/>
  <c r="M266" i="1"/>
  <c r="M237" i="1"/>
  <c r="O266" i="1"/>
  <c r="M234" i="1"/>
  <c r="O265" i="1"/>
  <c r="I90" i="1"/>
  <c r="I142" i="1"/>
  <c r="L266" i="1"/>
  <c r="L264" i="1"/>
  <c r="N223" i="1"/>
  <c r="O234" i="1"/>
  <c r="M235" i="1"/>
  <c r="N212" i="1"/>
  <c r="L236" i="1"/>
  <c r="N263" i="1"/>
  <c r="J142" i="1"/>
  <c r="M221" i="1"/>
  <c r="N238" i="1"/>
  <c r="J89" i="1"/>
  <c r="J140" i="1"/>
  <c r="M264" i="1"/>
  <c r="L238" i="1"/>
  <c r="P236" i="1"/>
  <c r="J141" i="1"/>
  <c r="P263" i="1"/>
  <c r="M263" i="1"/>
  <c r="N222" i="1"/>
  <c r="N237" i="1"/>
  <c r="J130" i="1"/>
  <c r="H119" i="1"/>
  <c r="L223" i="1"/>
  <c r="N265" i="1"/>
  <c r="J39" i="1"/>
  <c r="N234" i="1"/>
  <c r="P266" i="1"/>
  <c r="M265" i="1"/>
  <c r="L221" i="1"/>
  <c r="P237" i="1"/>
  <c r="J129" i="1"/>
  <c r="J50" i="1"/>
  <c r="O263" i="1"/>
  <c r="K224" i="1"/>
  <c r="P238" i="1"/>
  <c r="O236" i="1"/>
  <c r="H34" i="1"/>
  <c r="N236" i="1"/>
  <c r="J49" i="1"/>
  <c r="L265" i="1"/>
  <c r="K222" i="1"/>
  <c r="P235" i="1"/>
  <c r="O235" i="1"/>
  <c r="K212" i="1"/>
  <c r="J122" i="1"/>
  <c r="M254" i="1"/>
  <c r="L181" i="1"/>
  <c r="J121" i="1"/>
  <c r="K162" i="1"/>
  <c r="P252" i="1"/>
  <c r="N253" i="1"/>
  <c r="J133" i="1"/>
  <c r="L303" i="1"/>
  <c r="N180" i="1"/>
  <c r="L161" i="1"/>
  <c r="K161" i="1"/>
  <c r="O254" i="1"/>
  <c r="M182" i="1"/>
  <c r="K305" i="1"/>
  <c r="M181" i="1"/>
  <c r="M180" i="1"/>
  <c r="H125" i="1"/>
  <c r="L253" i="1"/>
  <c r="L162" i="1"/>
  <c r="M304" i="1"/>
  <c r="O253" i="1"/>
  <c r="L254" i="1"/>
  <c r="N250" i="1"/>
  <c r="L182" i="1"/>
  <c r="H126" i="1"/>
  <c r="J162" i="1"/>
  <c r="J70" i="1"/>
  <c r="O251" i="1"/>
  <c r="N254" i="1"/>
  <c r="K182" i="1"/>
  <c r="I71" i="1"/>
  <c r="P253" i="1"/>
  <c r="M251" i="1"/>
  <c r="N182" i="1"/>
  <c r="L172" i="1"/>
  <c r="N171" i="1"/>
  <c r="N189" i="1"/>
  <c r="J201" i="1"/>
  <c r="N264" i="1"/>
  <c r="P264" i="1"/>
  <c r="M222" i="1"/>
  <c r="M238" i="1"/>
  <c r="O238" i="1"/>
  <c r="L307" i="1"/>
  <c r="J154" i="1"/>
  <c r="K213" i="1"/>
  <c r="L275" i="1"/>
  <c r="L301" i="1"/>
  <c r="M173" i="1"/>
  <c r="I50" i="1"/>
  <c r="J147" i="1"/>
  <c r="N172" i="1"/>
  <c r="M172" i="1"/>
  <c r="J156" i="1"/>
  <c r="N173" i="1"/>
  <c r="J28" i="1"/>
  <c r="L202" i="1"/>
  <c r="K312" i="1"/>
  <c r="I156" i="1"/>
  <c r="L273" i="1"/>
  <c r="O171" i="1"/>
  <c r="J90" i="1"/>
  <c r="I141" i="1"/>
  <c r="P173" i="1"/>
  <c r="K202" i="1"/>
  <c r="J40" i="1"/>
  <c r="I148" i="1"/>
  <c r="L173" i="1"/>
  <c r="N191" i="1"/>
  <c r="L199" i="1"/>
  <c r="M224" i="1"/>
  <c r="I40" i="1"/>
  <c r="M236" i="1"/>
  <c r="L235" i="1"/>
  <c r="I130" i="1"/>
  <c r="I155" i="1"/>
  <c r="L212" i="1"/>
  <c r="L274" i="1"/>
  <c r="J148" i="1"/>
  <c r="A11" i="1"/>
  <c r="A6" i="1"/>
  <c r="A28" i="1" l="1"/>
  <c r="A118" i="1"/>
  <c r="A33" i="1"/>
  <c r="A355" i="1"/>
  <c r="A337" i="1"/>
  <c r="A310" i="1"/>
  <c r="A132" i="1"/>
  <c r="A318" i="1"/>
  <c r="A140" i="1"/>
  <c r="A39" i="1"/>
  <c r="A89" i="1"/>
  <c r="A128" i="1"/>
  <c r="A299" i="1"/>
  <c r="A273" i="1"/>
  <c r="A307" i="1"/>
  <c r="A199" i="1"/>
  <c r="A161" i="1"/>
  <c r="A154" i="1"/>
  <c r="A180" i="1"/>
  <c r="A124" i="1"/>
  <c r="A49" i="1"/>
  <c r="A147" i="1"/>
  <c r="A249" i="1"/>
  <c r="A189" i="1"/>
  <c r="A221" i="1"/>
  <c r="A70" i="1"/>
  <c r="A121" i="1"/>
  <c r="A210" i="1"/>
  <c r="A303" i="1"/>
  <c r="A262" i="1"/>
  <c r="A170" i="1"/>
  <c r="A233" i="1"/>
  <c r="B3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cellMetadata count="1">
    <bk>
      <rc t="1" v="0"/>
    </bk>
  </cellMetadata>
  <valueMetadata count="1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</valueMetadata>
</metadata>
</file>

<file path=xl/sharedStrings.xml><?xml version="1.0" encoding="utf-8"?>
<sst xmlns="http://schemas.openxmlformats.org/spreadsheetml/2006/main" count="316" uniqueCount="144">
  <si>
    <t>epected</t>
  </si>
  <si>
    <t>actual</t>
  </si>
  <si>
    <t>xlwings</t>
  </si>
  <si>
    <t>name</t>
  </si>
  <si>
    <t>ix</t>
  </si>
  <si>
    <t>read_float</t>
  </si>
  <si>
    <t>write_float</t>
  </si>
  <si>
    <t>read_string</t>
  </si>
  <si>
    <t>write_string</t>
  </si>
  <si>
    <t>read_empty</t>
  </si>
  <si>
    <t>read_date</t>
  </si>
  <si>
    <t>write_date</t>
  </si>
  <si>
    <t>read_datetime</t>
  </si>
  <si>
    <t>write_datetime</t>
  </si>
  <si>
    <t>read_horizontal_list</t>
  </si>
  <si>
    <t>write_horizontal_list</t>
  </si>
  <si>
    <t>read_vertical_list</t>
  </si>
  <si>
    <t>write_vertical_list</t>
  </si>
  <si>
    <t>read_2dlist</t>
  </si>
  <si>
    <t>write_2dlist</t>
  </si>
  <si>
    <t>read_ndim1</t>
  </si>
  <si>
    <t>read_ndim2</t>
  </si>
  <si>
    <t>read_transpose</t>
  </si>
  <si>
    <t>write_transpose</t>
  </si>
  <si>
    <t>read_dates_as1</t>
  </si>
  <si>
    <t>read_dates_as2</t>
  </si>
  <si>
    <t>read_dates_as3</t>
  </si>
  <si>
    <t>read_empty_as</t>
  </si>
  <si>
    <t>read_scalar_nparray</t>
  </si>
  <si>
    <t>read_empty_nparray</t>
  </si>
  <si>
    <t>read_horizontal_nparray</t>
  </si>
  <si>
    <t>read_vertical_nparray</t>
  </si>
  <si>
    <t>read_ndim1_nparray</t>
  </si>
  <si>
    <t>read_ndim2_nparray</t>
  </si>
  <si>
    <t>read_transpose_nparray</t>
  </si>
  <si>
    <t>write_transpose_nparray</t>
  </si>
  <si>
    <t>read_date_nparray</t>
  </si>
  <si>
    <t>read_dates_as_nparray</t>
  </si>
  <si>
    <t>read_empty_as_nparray</t>
  </si>
  <si>
    <t>read_series_noheader_noindex</t>
  </si>
  <si>
    <t>read_series_header_named_index</t>
  </si>
  <si>
    <t>read_series_header_nameless_index</t>
  </si>
  <si>
    <t>write_series_noheader_noindex</t>
  </si>
  <si>
    <t>write_series_noheader_index</t>
  </si>
  <si>
    <t>write_series_header_noindex</t>
  </si>
  <si>
    <t>write_series_header_named_index</t>
  </si>
  <si>
    <t>write_series_header_nameless_index</t>
  </si>
  <si>
    <t>read_timeseries</t>
  </si>
  <si>
    <t>ts</t>
  </si>
  <si>
    <t>write_timeseries</t>
  </si>
  <si>
    <t>a</t>
  </si>
  <si>
    <t>b</t>
  </si>
  <si>
    <t>c</t>
  </si>
  <si>
    <t>write_dict</t>
  </si>
  <si>
    <t>read_df_0header_0index</t>
  </si>
  <si>
    <t>read_df_1header_1namedindex</t>
  </si>
  <si>
    <t>d</t>
  </si>
  <si>
    <t>ix1</t>
  </si>
  <si>
    <t>read_df_1header_1unnamedindex</t>
  </si>
  <si>
    <t>read_df_2header_1namedindex</t>
  </si>
  <si>
    <t>read_df_2header_1unnamedindex</t>
  </si>
  <si>
    <t>read_df_2header_2namedindex</t>
  </si>
  <si>
    <t>x1</t>
  </si>
  <si>
    <t>x2</t>
  </si>
  <si>
    <t>read_df_2header_2unnamedindex</t>
  </si>
  <si>
    <t>read_df_1header_2namedindex</t>
  </si>
  <si>
    <t>read_df_date_index</t>
  </si>
  <si>
    <t>write_df_2header_1namedindex</t>
  </si>
  <si>
    <t>write_df_0header_0index</t>
  </si>
  <si>
    <t>write_df_1header_1namedindex</t>
  </si>
  <si>
    <t>write_df_1header_1unnamedindex</t>
  </si>
  <si>
    <t>write_df_2header_1unnamedindex</t>
  </si>
  <si>
    <t>write_df_2header_2namedindex</t>
  </si>
  <si>
    <t>write_df_2header_2unnamedindex</t>
  </si>
  <si>
    <t>write_df_1header_2namedindex</t>
  </si>
  <si>
    <t>write_df_date_index</t>
  </si>
  <si>
    <t>comparison</t>
  </si>
  <si>
    <t>FAILING:</t>
  </si>
  <si>
    <t>read_df_1header_0index</t>
  </si>
  <si>
    <t>write_df_1header_0index</t>
  </si>
  <si>
    <t>read_df_0header_1index</t>
  </si>
  <si>
    <t>write_df_0header_1index</t>
  </si>
  <si>
    <t>read_df_2header_0index</t>
  </si>
  <si>
    <t>write_df_2header_0index</t>
  </si>
  <si>
    <t>read_df_0header_2index</t>
  </si>
  <si>
    <t>write_df_0header_2index</t>
  </si>
  <si>
    <t>optional_args</t>
  </si>
  <si>
    <t>variable_args</t>
  </si>
  <si>
    <t>default_args</t>
  </si>
  <si>
    <t>write_np_scalar</t>
  </si>
  <si>
    <t>write_none</t>
  </si>
  <si>
    <t>read_series_header_nameless_2index</t>
  </si>
  <si>
    <t>read_series_header_named_2index</t>
  </si>
  <si>
    <t>ix2</t>
  </si>
  <si>
    <t>read_series_noheader_2index</t>
  </si>
  <si>
    <t>write_series_header_nameless_2index</t>
  </si>
  <si>
    <t>write_series_header_named_2index</t>
  </si>
  <si>
    <t>write_series_noheader_2index</t>
  </si>
  <si>
    <t>write_series_nan</t>
  </si>
  <si>
    <t>read_dict (only &gt;PY2.7)</t>
  </si>
  <si>
    <t>read_dict_transpose (only &gt; PY2.7)</t>
  </si>
  <si>
    <t>method_signature_with_more_than_1024_characters</t>
  </si>
  <si>
    <t>splitted signature</t>
  </si>
  <si>
    <t>method_signature_with_less_than_1024_characters</t>
  </si>
  <si>
    <t>non splitted signature</t>
  </si>
  <si>
    <t>return_pd_nat</t>
  </si>
  <si>
    <t>Returns 0 with Office.js, can use ="" though, see https://stackoverflow.com/questions/64114756/is-there-a-possibility-to-return-truly-blank-values-from-excel-custom-function</t>
  </si>
  <si>
    <t>INT instead of FLOAT</t>
  </si>
  <si>
    <t>read_series_noheader_index</t>
  </si>
  <si>
    <t>read_series_header_noindex</t>
  </si>
  <si>
    <t>one</t>
  </si>
  <si>
    <t>two</t>
  </si>
  <si>
    <t>three</t>
  </si>
  <si>
    <t>parse_dates_index</t>
  </si>
  <si>
    <t>parse_dates_true</t>
  </si>
  <si>
    <t>parse_dates_names</t>
  </si>
  <si>
    <t>write_error_cells</t>
  </si>
  <si>
    <t>read_error_cells</t>
  </si>
  <si>
    <t>read_error_cells_str</t>
  </si>
  <si>
    <t>explicit_date_format</t>
  </si>
  <si>
    <t>Return value should be formatted as 2022-1-13</t>
  </si>
  <si>
    <t>namespace</t>
  </si>
  <si>
    <t>volatile</t>
  </si>
  <si>
    <t>varargs_arg_decorator</t>
  </si>
  <si>
    <t>type_hints_arg_float</t>
  </si>
  <si>
    <t>type_hints_arg_str</t>
  </si>
  <si>
    <t>type_hints_arg_bool</t>
  </si>
  <si>
    <t>type_hints_arg_int</t>
  </si>
  <si>
    <t>type_hints_arg_datetime</t>
  </si>
  <si>
    <t>type_hints_arg_df</t>
  </si>
  <si>
    <t>type_hints_arg_df_annotated</t>
  </si>
  <si>
    <t>type_hints_ret_df_annotated</t>
  </si>
  <si>
    <t>type_hints_ret_df_decorator_override</t>
  </si>
  <si>
    <t>type_hints_arg_df_decorator_coexistence</t>
  </si>
  <si>
    <t>type_hints_arg_list</t>
  </si>
  <si>
    <t>type_hints_arg_list_int</t>
  </si>
  <si>
    <t>type_hints_arg_list_list_int</t>
  </si>
  <si>
    <t>type_hints_arg_dict</t>
  </si>
  <si>
    <t>type_hints_arg_array</t>
  </si>
  <si>
    <t>type_hints_arg_ndarray</t>
  </si>
  <si>
    <t>TO RUN THE TESTS: Run "python run.py", set XLWINGS_ENABLE_TESTS=true and hit Ctrl+Alt+F9</t>
  </si>
  <si>
    <t>varargs_with_object_handles</t>
  </si>
  <si>
    <t>required_roles</t>
  </si>
  <si>
    <t>nested_object_call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</si>
</sst>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5D9F1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14" fontId="0" fillId="0" borderId="0" xfId="0" applyNumberFormat="1"/>
    <xf numFmtId="14" fontId="0" fillId="2" borderId="0" xfId="0" applyNumberFormat="1" applyFill="1"/>
    <xf numFmtId="14" fontId="0" fillId="3" borderId="0" xfId="0" applyNumberFormat="1" applyFill="1"/>
    <xf numFmtId="22" fontId="1" fillId="0" borderId="0" xfId="1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14" fontId="0" fillId="2" borderId="0" xfId="0" applyNumberFormat="1" applyFill="1" applyAlignment="1">
      <alignment horizontal="right"/>
    </xf>
    <xf numFmtId="14" fontId="0" fillId="3" borderId="0" xfId="0" applyNumberFormat="1" applyFill="1" applyAlignment="1">
      <alignment horizontal="right"/>
    </xf>
    <xf numFmtId="0" fontId="3" fillId="0" borderId="0" xfId="0" applyFont="1"/>
    <xf numFmtId="164" fontId="1" fillId="2" borderId="0" xfId="1" applyNumberFormat="1" applyFill="1"/>
    <xf numFmtId="164" fontId="1" fillId="3" borderId="0" xfId="1" applyNumberFormat="1" applyFill="1"/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0" fillId="4" borderId="0" xfId="0" applyFill="1" applyAlignment="1">
      <alignment horizontal="right"/>
    </xf>
    <xf numFmtId="0" fontId="5" fillId="0" borderId="0" xfId="0" applyFont="1" applyAlignment="1">
      <alignment vertical="center"/>
    </xf>
    <xf numFmtId="0" fontId="0" fillId="4" borderId="0" xfId="0" applyFill="1"/>
    <xf numFmtId="0" fontId="6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7" fillId="5" borderId="0" xfId="0" applyFont="1" applyFill="1"/>
  </cellXfs>
  <cellStyles count="2">
    <cellStyle name="Normal" xfId="0" builtinId="0"/>
    <cellStyle name="Normal 2" xfId="1" xr:uid="{00000000-0005-0000-0000-000001000000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fb>25568</fb>
    <v>0</v>
  </rv>
  <rv s="0">
    <fb>27805.546099537038</fb>
    <v>0</v>
  </rv>
  <rv s="0">
    <fb>36880</fb>
    <v>0</v>
  </rv>
  <rv s="0">
    <fb>36881</fb>
    <v>0</v>
  </rv>
  <rv s="0">
    <fb>36507</fb>
    <v>0</v>
  </rv>
  <rv s="0">
    <fb>36508</fb>
    <v>0</v>
  </rv>
  <rv s="0">
    <fb>44574</fb>
    <v>1</v>
  </rv>
  <rv s="1">
    <v>DataFrame</v>
    <v>3</v>
    <v>Generic</v>
    <v>A [int64], B [int64], C [int64]</v>
    <v>RangeIndex: 5 entries, 0 to 4</v>
    <v>040068ef-e37e-46f1-8d64-6bc59f763a94</v>
    <v>(5, 3)</v>
    <v>DataFrame</v>
  </rv>
  <rv s="1">
    <v>DataFrame</v>
    <v>3</v>
    <v>Generic</v>
    <v>A [int64], B [int64], C [int64]</v>
    <v>RangeIndex: 5 entries, 0 to 4</v>
    <v>08011596-1b8e-43e8-8af4-d4602a69c679</v>
    <v>(5, 3)</v>
    <v>DataFrame</v>
  </rv>
  <rv s="2">
    <v>16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entity">
    <k n="_DisplayString" t="s"/>
    <k n="_Flags" t="spb"/>
    <k n="_Icon" t="s"/>
    <k n="Columns" t="s"/>
    <k n="Index" t="s"/>
    <k n="object_handle_cache_key" t="s"/>
    <k n="Shape" t="s"/>
    <k n="Type" t="s"/>
  </s>
  <s t="_error">
    <k n="errorType" t="i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1">
      <v>0</v>
      <v>0</v>
      <v>0</v>
    </spb>
    <spb s="2">
      <v>2</v>
    </spb>
  </spbData>
</supportingPropertyBags>
</file>

<file path=xl/richData/rdsupportingpropertybagstructure.xml><?xml version="1.0" encoding="utf-8"?>
<spbStructures xmlns="http://schemas.microsoft.com/office/spreadsheetml/2017/richdata2" count="3">
  <s>
    <k n="_Self" t="i"/>
  </s>
  <s>
    <k n="ShowInCardView" t="b"/>
    <k n="ShowInDotNotation" t="b"/>
    <k n="ShowInAutoComplete" t="b"/>
  </s>
  <s>
    <k n="object_handle_cache_key" t="spb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m/d/yy"/>
    </x:dxf>
  </dxfs>
  <richProperties>
    <rPr n="NumberFormat" t="s"/>
  </richProperties>
  <richStyles>
    <rSty dxfid="0">
      <rpv i="0">m/d/yy</rpv>
    </rSty>
    <rSty dxfid="0">
      <rpv i="0">yyyy-m-d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6F44528-4135-4743-B5C2-FAFD04F6F31B}">
  <we:reference id="9269fe91-d698-4781-a301-1c0f00660ec5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_xldudf_XLWINGSJS_DEFAULT_ARGS</we:customFunctionIds>
        <we:customFunctionIds>_xldudf_XLWINGSJS_EXPLICIT_DATE_FORMAT</we:customFunctionIds>
        <we:customFunctionIds>_xldudf_XLWINGSJS_METHOD_SIGNATURE_WITH_LESS_THAN_1024_CHARACTERS</we:customFunctionIds>
        <we:customFunctionIds>_xldudf_XLWINGSJS_METHOD_SIGNATURE_WITH_MORE_THAN_1024_CHARACTERS</we:customFunctionIds>
        <we:customFunctionIds>_xldudf_XLWINGSJS_NAMESPACE</we:customFunctionIds>
        <we:customFunctionIds>_xldudf_XLWINGSJS_OPTIONAL_ARGS</we:customFunctionIds>
        <we:customFunctionIds>_xldudf_XLWINGSJS_PARSE_DATES_INDEX</we:customFunctionIds>
        <we:customFunctionIds>_xldudf_XLWINGSJS_PARSE_DATES_NAMES</we:customFunctionIds>
        <we:customFunctionIds>_xldudf_XLWINGSJS_PARSE_DATES_TRUE</we:customFunctionIds>
        <we:customFunctionIds>_xldudf_XLWINGSJS_READ_2DLIST</we:customFunctionIds>
        <we:customFunctionIds>_xldudf_XLWINGSJS_READ_DATE</we:customFunctionIds>
        <we:customFunctionIds>_xldudf_XLWINGSJS_READ_DATE_NPARRAY</we:customFunctionIds>
        <we:customFunctionIds>_xldudf_XLWINGSJS_READ_DATES_AS1</we:customFunctionIds>
        <we:customFunctionIds>_xldudf_XLWINGSJS_READ_DATES_AS2</we:customFunctionIds>
        <we:customFunctionIds>_xldudf_XLWINGSJS_READ_DATES_AS3</we:customFunctionIds>
        <we:customFunctionIds>_xldudf_XLWINGSJS_READ_DATES_AS_NPARRAY</we:customFunctionIds>
        <we:customFunctionIds>_xldudf_XLWINGSJS_READ_DATETIME</we:customFunctionIds>
        <we:customFunctionIds>_xldudf_XLWINGSJS_READ_DF_0HEADER_0INDEX</we:customFunctionIds>
        <we:customFunctionIds>_xldudf_XLWINGSJS_READ_DF_0HEADER_1INDEX</we:customFunctionIds>
        <we:customFunctionIds>_xldudf_XLWINGSJS_READ_DF_0HEADER_2INDEX</we:customFunctionIds>
        <we:customFunctionIds>_xldudf_XLWINGSJS_READ_DF_1HEADER_0INDEX</we:customFunctionIds>
        <we:customFunctionIds>_xldudf_XLWINGSJS_READ_DF_1HEADER_1NAMEDINDEX</we:customFunctionIds>
        <we:customFunctionIds>_xldudf_XLWINGSJS_READ_DF_1HEADER_1UNNAMEDINDEX</we:customFunctionIds>
        <we:customFunctionIds>_xldudf_XLWINGSJS_READ_DF_1HEADER_2NAMEDINDEX</we:customFunctionIds>
        <we:customFunctionIds>_xldudf_XLWINGSJS_READ_DF_2HEADER_0INDEX</we:customFunctionIds>
        <we:customFunctionIds>_xldudf_XLWINGSJS_READ_DF_2HEADER_1NAMEDINDEX</we:customFunctionIds>
        <we:customFunctionIds>_xldudf_XLWINGSJS_READ_DF_2HEADER_1UNNAMEDINDEX</we:customFunctionIds>
        <we:customFunctionIds>_xldudf_XLWINGSJS_READ_DF_2HEADER_2NAMEDINDEX</we:customFunctionIds>
        <we:customFunctionIds>_xldudf_XLWINGSJS_READ_DF_2HEADER_2UNNAMEDINDEX</we:customFunctionIds>
        <we:customFunctionIds>_xldudf_XLWINGSJS_READ_DF_DATE_INDEX</we:customFunctionIds>
        <we:customFunctionIds>_xldudf_XLWINGSJS_READ_DICT</we:customFunctionIds>
        <we:customFunctionIds>_xldudf_XLWINGSJS_READ_DICT_TRANSPOSE</we:customFunctionIds>
        <we:customFunctionIds>_xldudf_XLWINGSJS_READ_EMPTY</we:customFunctionIds>
        <we:customFunctionIds>_xldudf_XLWINGSJS_READ_EMPTY_AS</we:customFunctionIds>
        <we:customFunctionIds>_xldudf_XLWINGSJS_READ_EMPTY_AS_NPARRAY</we:customFunctionIds>
        <we:customFunctionIds>_xldudf_XLWINGSJS_READ_EMPTY_NPARRAY</we:customFunctionIds>
        <we:customFunctionIds>_xldudf_XLWINGSJS_READ_ERROR_CELLS</we:customFunctionIds>
        <we:customFunctionIds>_xldudf_XLWINGSJS_READ_ERROR_CELLS_STR</we:customFunctionIds>
        <we:customFunctionIds>_xldudf_XLWINGSJS_READ_FLOAT</we:customFunctionIds>
        <we:customFunctionIds>_xldudf_XLWINGSJS_READ_HORIZONTAL_LIST</we:customFunctionIds>
        <we:customFunctionIds>_xldudf_XLWINGSJS_READ_HORIZONTAL_NPARRAY</we:customFunctionIds>
        <we:customFunctionIds>_xldudf_XLWINGSJS_READ_NDIM1</we:customFunctionIds>
        <we:customFunctionIds>_xldudf_XLWINGSJS_READ_NDIM1_NPARRAY</we:customFunctionIds>
        <we:customFunctionIds>_xldudf_XLWINGSJS_READ_NDIM2</we:customFunctionIds>
        <we:customFunctionIds>_xldudf_XLWINGSJS_READ_NDIM2_NPARRAY</we:customFunctionIds>
        <we:customFunctionIds>_xldudf_XLWINGSJS_READ_SCALAR_NPARRAY</we:customFunctionIds>
        <we:customFunctionIds>_xldudf_XLWINGSJS_READ_SERIES_HEADER_NAMED_2INDEX</we:customFunctionIds>
        <we:customFunctionIds>_xldudf_XLWINGSJS_READ_SERIES_HEADER_NAMED_INDEX</we:customFunctionIds>
        <we:customFunctionIds>_xldudf_XLWINGSJS_READ_SERIES_HEADER_NAMELESS_2INDEX</we:customFunctionIds>
        <we:customFunctionIds>_xldudf_XLWINGSJS_READ_SERIES_HEADER_NAMELESS_INDEX</we:customFunctionIds>
        <we:customFunctionIds>_xldudf_XLWINGSJS_READ_SERIES_HEADER_NOINDEX</we:customFunctionIds>
        <we:customFunctionIds>_xldudf_XLWINGSJS_READ_SERIES_NOHEADER_2INDEX</we:customFunctionIds>
        <we:customFunctionIds>_xldudf_XLWINGSJS_READ_SERIES_NOHEADER_INDEX</we:customFunctionIds>
        <we:customFunctionIds>_xldudf_XLWINGSJS_READ_SERIES_NOHEADER_NOINDEX</we:customFunctionIds>
        <we:customFunctionIds>_xldudf_XLWINGSJS_READ_STRING</we:customFunctionIds>
        <we:customFunctionIds>_xldudf_XLWINGSJS_READ_TIMESERIES</we:customFunctionIds>
        <we:customFunctionIds>_xldudf_XLWINGSJS_READ_TRANSPOSE</we:customFunctionIds>
        <we:customFunctionIds>_xldudf_XLWINGSJS_READ_TRANSPOSE_NPARRAY</we:customFunctionIds>
        <we:customFunctionIds>_xldudf_XLWINGSJS_READ_VERTICAL_LIST</we:customFunctionIds>
        <we:customFunctionIds>_xldudf_XLWINGSJS_READ_VERTICAL_NPARRAY</we:customFunctionIds>
        <we:customFunctionIds>_xldudf_XLWINGSJS_READ_WORKBOOK_CALLER</we:customFunctionIds>
        <we:customFunctionIds>_xldudf_XLWINGSJS_RETURN_PD_NAT</we:customFunctionIds>
        <we:customFunctionIds>_xldudf_XLWINGSJS_TYPE_HINTS_ARG_ARRAY</we:customFunctionIds>
        <we:customFunctionIds>_xldudf_XLWINGSJS_TYPE_HINTS_ARG_BOOL</we:customFunctionIds>
        <we:customFunctionIds>_xldudf_XLWINGSJS_TYPE_HINTS_ARG_DATETIME</we:customFunctionIds>
        <we:customFunctionIds>_xldudf_XLWINGSJS_TYPE_HINTS_ARG_DF</we:customFunctionIds>
        <we:customFunctionIds>_xldudf_XLWINGSJS_TYPE_HINTS_ARG_DF_ANNOTATED</we:customFunctionIds>
        <we:customFunctionIds>_xldudf_XLWINGSJS_TYPE_HINTS_ARG_DF_DECORATOR_COEXISTENCE</we:customFunctionIds>
        <we:customFunctionIds>_xldudf_XLWINGSJS_TYPE_HINTS_ARG_DICT</we:customFunctionIds>
        <we:customFunctionIds>_xldudf_XLWINGSJS_TYPE_HINTS_ARG_FLOAT</we:customFunctionIds>
        <we:customFunctionIds>_xldudf_XLWINGSJS_TYPE_HINTS_ARG_INT</we:customFunctionIds>
        <we:customFunctionIds>_xldudf_XLWINGSJS_TYPE_HINTS_ARG_LIST</we:customFunctionIds>
        <we:customFunctionIds>_xldudf_XLWINGSJS_TYPE_HINTS_ARG_LIST_INT</we:customFunctionIds>
        <we:customFunctionIds>_xldudf_XLWINGSJS_TYPE_HINTS_ARG_LIST_LIST_INT</we:customFunctionIds>
        <we:customFunctionIds>_xldudf_XLWINGSJS_TYPE_HINTS_ARG_NDARRAY</we:customFunctionIds>
        <we:customFunctionIds>_xldudf_XLWINGSJS_TYPE_HINTS_ARG_STR</we:customFunctionIds>
        <we:customFunctionIds>_xldudf_XLWINGSJS_TYPE_HINTS_RET_DF_ANNOTATED</we:customFunctionIds>
        <we:customFunctionIds>_xldudf_XLWINGSJS_TYPE_HINTS_RET_DF_DECORATOR_OVERRIDE</we:customFunctionIds>
        <we:customFunctionIds>_xldudf_XLWINGSJS_VARARGS_ARG_DECORATOR</we:customFunctionIds>
        <we:customFunctionIds>_xldudf_XLWINGSJS_VARIABLE_ARGS</we:customFunctionIds>
        <we:customFunctionIds>_xldudf_XLWINGSJS_VOLATILE</we:customFunctionIds>
        <we:customFunctionIds>_xldudf_XLWINGSJS_WRITE_2DLIST</we:customFunctionIds>
        <we:customFunctionIds>_xldudf_XLWINGSJS_WRITE_DATE</we:customFunctionIds>
        <we:customFunctionIds>_xldudf_XLWINGSJS_WRITE_DATETIME</we:customFunctionIds>
        <we:customFunctionIds>_xldudf_XLWINGSJS_WRITE_DF_0HEADER_0INDEX</we:customFunctionIds>
        <we:customFunctionIds>_xldudf_XLWINGSJS_WRITE_DF_0HEADER_1INDEX</we:customFunctionIds>
        <we:customFunctionIds>_xldudf_XLWINGSJS_WRITE_DF_0HEADER_2INDEX</we:customFunctionIds>
        <we:customFunctionIds>_xldudf_XLWINGSJS_WRITE_DF_1HEADER_0INDEX</we:customFunctionIds>
        <we:customFunctionIds>_xldudf_XLWINGSJS_WRITE_DF_1HEADER_1NAMEDINDEX</we:customFunctionIds>
        <we:customFunctionIds>_xldudf_XLWINGSJS_WRITE_DF_1HEADER_1UNNAMEDINDEX</we:customFunctionIds>
        <we:customFunctionIds>_xldudf_XLWINGSJS_WRITE_DF_1HEADER_2NAMEDINDEX</we:customFunctionIds>
        <we:customFunctionIds>_xldudf_XLWINGSJS_WRITE_DF_2HEADER_0INDEX</we:customFunctionIds>
        <we:customFunctionIds>_xldudf_XLWINGSJS_WRITE_DF_2HEADER_1NAMEDINDEX</we:customFunctionIds>
        <we:customFunctionIds>_xldudf_XLWINGSJS_WRITE_DF_2HEADER_1UNNAMEDINDEX</we:customFunctionIds>
        <we:customFunctionIds>_xldudf_XLWINGSJS_WRITE_DF_2HEADER_2NAMEDINDEX</we:customFunctionIds>
        <we:customFunctionIds>_xldudf_XLWINGSJS_WRITE_DF_2HEADER_2UNNAMEDINDEX</we:customFunctionIds>
        <we:customFunctionIds>_xldudf_XLWINGSJS_WRITE_DF_DATE_INDEX</we:customFunctionIds>
        <we:customFunctionIds>_xldudf_XLWINGSJS_WRITE_DICT</we:customFunctionIds>
        <we:customFunctionIds>_xldudf_XLWINGSJS_WRITE_ERROR_CELLS</we:customFunctionIds>
        <we:customFunctionIds>_xldudf_XLWINGSJS_WRITE_FLOAT</we:customFunctionIds>
        <we:customFunctionIds>_xldudf_XLWINGSJS_WRITE_HORIZONTAL_LIST</we:customFunctionIds>
        <we:customFunctionIds>_xldudf_XLWINGSJS_WRITE_NONE</we:customFunctionIds>
        <we:customFunctionIds>_xldudf_XLWINGSJS_WRITE_NP_SCALAR</we:customFunctionIds>
        <we:customFunctionIds>_xldudf_XLWINGSJS_WRITE_SERIES_HEADER_NAMED_2INDEX</we:customFunctionIds>
        <we:customFunctionIds>_xldudf_XLWINGSJS_WRITE_SERIES_HEADER_NAMED_INDEX</we:customFunctionIds>
        <we:customFunctionIds>_xldudf_XLWINGSJS_WRITE_SERIES_HEADER_NAMELESS_2INDEX</we:customFunctionIds>
        <we:customFunctionIds>_xldudf_XLWINGSJS_WRITE_SERIES_HEADER_NAMELESS_INDEX</we:customFunctionIds>
        <we:customFunctionIds>_xldudf_XLWINGSJS_WRITE_SERIES_HEADER_NOINDEX</we:customFunctionIds>
        <we:customFunctionIds>_xldudf_XLWINGSJS_WRITE_SERIES_NAN</we:customFunctionIds>
        <we:customFunctionIds>_xldudf_XLWINGSJS_WRITE_SERIES_NOHEADER_2INDEX</we:customFunctionIds>
        <we:customFunctionIds>_xldudf_XLWINGSJS_WRITE_SERIES_NOHEADER_INDEX</we:customFunctionIds>
        <we:customFunctionIds>_xldudf_XLWINGSJS_WRITE_SERIES_NOHEADER_NOINDEX</we:customFunctionIds>
        <we:customFunctionIds>_xldudf_XLWINGSJS_WRITE_STRING</we:customFunctionIds>
        <we:customFunctionIds>_xldudf_XLWINGSJS_WRITE_TIMESERIES</we:customFunctionIds>
        <we:customFunctionIds>_xldudf_XLWINGSJS_WRITE_TRANSPOSE</we:customFunctionIds>
        <we:customFunctionIds>_xldudf_XLWINGSJS_WRITE_TRANSPOSE_NPARRAY</we:customFunctionIds>
        <we:customFunctionIds>_xldudf_XLWINGSJS_WRITE_VERTICAL_LIST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B8916AF8-6D32-7240-A560-0D4A3555068B}">
  <we:reference id="0a856eb1-91ab-4f38-b757-23fbe1f73130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_xldudf_XLWINGS_DEV_CLEAR_OBJECT_CACHE</we:customFunctionIds>
        <we:customFunctionIds>_xldudf_XLWINGS_DEV_CORREL</we:customFunctionIds>
        <we:customFunctionIds>_xldudf_XLWINGS_DEV_CORREL2</we:customFunctionIds>
        <we:customFunctionIds>_xldudf_XLWINGS_DEV_DEFAULT_ARGS</we:customFunctionIds>
        <we:customFunctionIds>_xldudf_XLWINGS_DEV_DF_QUERY</we:customFunctionIds>
        <we:customFunctionIds>_xldudf_XLWINGS_DEV_EXPLICIT_DATE_FORMAT</we:customFunctionIds>
        <we:customFunctionIds>_xldudf_XLWINGS_DEV_GET_CURRENT_USER</we:customFunctionIds>
        <we:customFunctionIds>_xldudf_XLWINGS_DEV_GET_DF</we:customFunctionIds>
        <we:customFunctionIds>_xldudf_XLWINGS_DEV_GET_HEALTHEXP</we:customFunctionIds>
        <we:customFunctionIds>_xldudf_XLWINGS_DEV_HELLO</we:customFunctionIds>
        <we:customFunctionIds>_xldudf_XLWINGS_DEV_HELLO_WITH_SCRIPT</we:customFunctionIds>
        <we:customFunctionIds>_xldudf_XLWINGS_DEV_METHOD_SIGNATURE_WITH_LESS_THAN_1024_CHARACTERS</we:customFunctionIds>
        <we:customFunctionIds>_xldudf_XLWINGS_DEV_METHOD_SIGNATURE_WITH_MORE_THAN_1024_CHARACTERS</we:customFunctionIds>
        <we:customFunctionIds>_xldudf_XLWINGS_DEV_NAMESPACE</we:customFunctionIds>
        <we:customFunctionIds>_xldudf_XLWINGS_DEV_OPTIONAL_ARGS</we:customFunctionIds>
        <we:customFunctionIds>_xldudf_XLWINGS_DEV_PARSE_DATES_INDEX</we:customFunctionIds>
        <we:customFunctionIds>_xldudf_XLWINGS_DEV_PARSE_DATES_NAMES</we:customFunctionIds>
        <we:customFunctionIds>_xldudf_XLWINGS_DEV_PARSE_DATES_TRUE</we:customFunctionIds>
        <we:customFunctionIds>_xldudf_XLWINGS_DEV_READ_2DLIST</we:customFunctionIds>
        <we:customFunctionIds>_xldudf_XLWINGS_DEV_READ_CACHE</we:customFunctionIds>
        <we:customFunctionIds>_xldudf_XLWINGS_DEV_READ_DATE</we:customFunctionIds>
        <we:customFunctionIds>_xldudf_XLWINGS_DEV_READ_DATE_NPARRAY</we:customFunctionIds>
        <we:customFunctionIds>_xldudf_XLWINGS_DEV_READ_DATES_AS1</we:customFunctionIds>
        <we:customFunctionIds>_xldudf_XLWINGS_DEV_READ_DATES_AS2</we:customFunctionIds>
        <we:customFunctionIds>_xldudf_XLWINGS_DEV_READ_DATES_AS3</we:customFunctionIds>
        <we:customFunctionIds>_xldudf_XLWINGS_DEV_READ_DATES_AS_NPARRAY</we:customFunctionIds>
        <we:customFunctionIds>_xldudf_XLWINGS_DEV_READ_DATETIME</we:customFunctionIds>
        <we:customFunctionIds>_xldudf_XLWINGS_DEV_READ_DF_0HEADER_0INDEX</we:customFunctionIds>
        <we:customFunctionIds>_xldudf_XLWINGS_DEV_READ_DF_0HEADER_1INDEX</we:customFunctionIds>
        <we:customFunctionIds>_xldudf_XLWINGS_DEV_READ_DF_0HEADER_2INDEX</we:customFunctionIds>
        <we:customFunctionIds>_xldudf_XLWINGS_DEV_READ_DF_1HEADER_0INDEX</we:customFunctionIds>
        <we:customFunctionIds>_xldudf_XLWINGS_DEV_READ_DF_1HEADER_1NAMEDINDEX</we:customFunctionIds>
        <we:customFunctionIds>_xldudf_XLWINGS_DEV_READ_DF_1HEADER_1UNNAMEDINDEX</we:customFunctionIds>
        <we:customFunctionIds>_xldudf_XLWINGS_DEV_READ_DF_1HEADER_2NAMEDINDEX</we:customFunctionIds>
        <we:customFunctionIds>_xldudf_XLWINGS_DEV_READ_DF_2HEADER_0INDEX</we:customFunctionIds>
        <we:customFunctionIds>_xldudf_XLWINGS_DEV_READ_DF_2HEADER_1NAMEDINDEX</we:customFunctionIds>
        <we:customFunctionIds>_xldudf_XLWINGS_DEV_READ_DF_2HEADER_1UNNAMEDINDEX</we:customFunctionIds>
        <we:customFunctionIds>_xldudf_XLWINGS_DEV_READ_DF_2HEADER_2NAMEDINDEX</we:customFunctionIds>
        <we:customFunctionIds>_xldudf_XLWINGS_DEV_READ_DF_2HEADER_2UNNAMEDINDEX</we:customFunctionIds>
        <we:customFunctionIds>_xldudf_XLWINGS_DEV_READ_DF_DATE_INDEX</we:customFunctionIds>
        <we:customFunctionIds>_xldudf_XLWINGS_DEV_READ_DICT</we:customFunctionIds>
        <we:customFunctionIds>_xldudf_XLWINGS_DEV_READ_DICT_TRANSPOSE</we:customFunctionIds>
        <we:customFunctionIds>_xldudf_XLWINGS_DEV_READ_EMPTY</we:customFunctionIds>
        <we:customFunctionIds>_xldudf_XLWINGS_DEV_READ_EMPTY_AS</we:customFunctionIds>
        <we:customFunctionIds>_xldudf_XLWINGS_DEV_READ_EMPTY_AS_NPARRAY</we:customFunctionIds>
        <we:customFunctionIds>_xldudf_XLWINGS_DEV_READ_EMPTY_NPARRAY</we:customFunctionIds>
        <we:customFunctionIds>_xldudf_XLWINGS_DEV_READ_ERROR_CELLS</we:customFunctionIds>
        <we:customFunctionIds>_xldudf_XLWINGS_DEV_READ_ERROR_CELLS_STR</we:customFunctionIds>
        <we:customFunctionIds>_xldudf_XLWINGS_DEV_READ_FLOAT</we:customFunctionIds>
        <we:customFunctionIds>_xldudf_XLWINGS_DEV_READ_HORIZONTAL_LIST</we:customFunctionIds>
        <we:customFunctionIds>_xldudf_XLWINGS_DEV_READ_HORIZONTAL_NPARRAY</we:customFunctionIds>
        <we:customFunctionIds>_xldudf_XLWINGS_DEV_READ_NDIM1</we:customFunctionIds>
        <we:customFunctionIds>_xldudf_XLWINGS_DEV_READ_NDIM1_NPARRAY</we:customFunctionIds>
        <we:customFunctionIds>_xldudf_XLWINGS_DEV_READ_NDIM2</we:customFunctionIds>
        <we:customFunctionIds>_xldudf_XLWINGS_DEV_READ_NDIM2_NPARRAY</we:customFunctionIds>
        <we:customFunctionIds>_xldudf_XLWINGS_DEV_READ_SCALAR_NPARRAY</we:customFunctionIds>
        <we:customFunctionIds>_xldudf_XLWINGS_DEV_READ_SERIES_HEADER_NAMED_2INDEX</we:customFunctionIds>
        <we:customFunctionIds>_xldudf_XLWINGS_DEV_READ_SERIES_HEADER_NAMED_INDEX</we:customFunctionIds>
        <we:customFunctionIds>_xldudf_XLWINGS_DEV_READ_SERIES_HEADER_NAMELESS_2INDEX</we:customFunctionIds>
        <we:customFunctionIds>_xldudf_XLWINGS_DEV_READ_SERIES_HEADER_NAMELESS_INDEX</we:customFunctionIds>
        <we:customFunctionIds>_xldudf_XLWINGS_DEV_READ_SERIES_HEADER_NOINDEX</we:customFunctionIds>
        <we:customFunctionIds>_xldudf_XLWINGS_DEV_READ_SERIES_NOHEADER_2INDEX</we:customFunctionIds>
        <we:customFunctionIds>_xldudf_XLWINGS_DEV_READ_SERIES_NOHEADER_INDEX</we:customFunctionIds>
        <we:customFunctionIds>_xldudf_XLWINGS_DEV_READ_SERIES_NOHEADER_NOINDEX</we:customFunctionIds>
        <we:customFunctionIds>_xldudf_XLWINGS_DEV_READ_STRING</we:customFunctionIds>
        <we:customFunctionIds>_xldudf_XLWINGS_DEV_READ_TIMESERIES</we:customFunctionIds>
        <we:customFunctionIds>_xldudf_XLWINGS_DEV_READ_TRANSPOSE</we:customFunctionIds>
        <we:customFunctionIds>_xldudf_XLWINGS_DEV_READ_TRANSPOSE_NPARRAY</we:customFunctionIds>
        <we:customFunctionIds>_xldudf_XLWINGS_DEV_READ_VERTICAL_LIST</we:customFunctionIds>
        <we:customFunctionIds>_xldudf_XLWINGS_DEV_READ_VERTICAL_NPARRAY</we:customFunctionIds>
        <we:customFunctionIds>_xldudf_XLWINGS_DEV_READ_WORKBOOK_CALLER</we:customFunctionIds>
        <we:customFunctionIds>_xldudf_XLWINGS_DEV_REQUIRED_ROLES</we:customFunctionIds>
        <we:customFunctionIds>_xldudf_XLWINGS_DEV_RETURN_PD_NAT</we:customFunctionIds>
        <we:customFunctionIds>_xldudf_XLWINGS_DEV_SQL</we:customFunctionIds>
        <we:customFunctionIds>_xldudf_XLWINGS_DEV_STANDARD_NORMAL</we:customFunctionIds>
        <we:customFunctionIds>_xldudf_XLWINGS_DEV_STREAMING_RANDOM</we:customFunctionIds>
        <we:customFunctionIds>_xldudf_XLWINGS_DEV_TO_DF</we:customFunctionIds>
        <we:customFunctionIds>_xldudf_XLWINGS_DEV_TYPE_HINTS_ARG_ARRAY</we:customFunctionIds>
        <we:customFunctionIds>_xldudf_XLWINGS_DEV_TYPE_HINTS_ARG_BOOL</we:customFunctionIds>
        <we:customFunctionIds>_xldudf_XLWINGS_DEV_TYPE_HINTS_ARG_DATETIME</we:customFunctionIds>
        <we:customFunctionIds>_xldudf_XLWINGS_DEV_TYPE_HINTS_ARG_DF</we:customFunctionIds>
        <we:customFunctionIds>_xldudf_XLWINGS_DEV_TYPE_HINTS_ARG_DF_ANNOTATED</we:customFunctionIds>
        <we:customFunctionIds>_xldudf_XLWINGS_DEV_TYPE_HINTS_ARG_DF_DECORATOR_COEXISTENCE</we:customFunctionIds>
        <we:customFunctionIds>_xldudf_XLWINGS_DEV_TYPE_HINTS_ARG_DICT</we:customFunctionIds>
        <we:customFunctionIds>_xldudf_XLWINGS_DEV_TYPE_HINTS_ARG_FLOAT</we:customFunctionIds>
        <we:customFunctionIds>_xldudf_XLWINGS_DEV_TYPE_HINTS_ARG_INT</we:customFunctionIds>
        <we:customFunctionIds>_xldudf_XLWINGS_DEV_TYPE_HINTS_ARG_LIST</we:customFunctionIds>
        <we:customFunctionIds>_xldudf_XLWINGS_DEV_TYPE_HINTS_ARG_LIST_INT</we:customFunctionIds>
        <we:customFunctionIds>_xldudf_XLWINGS_DEV_TYPE_HINTS_ARG_LIST_LIST_INT</we:customFunctionIds>
        <we:customFunctionIds>_xldudf_XLWINGS_DEV_TYPE_HINTS_ARG_NDARRAY</we:customFunctionIds>
        <we:customFunctionIds>_xldudf_XLWINGS_DEV_TYPE_HINTS_ARG_STR</we:customFunctionIds>
        <we:customFunctionIds>_xldudf_XLWINGS_DEV_TYPE_HINTS_RET_DF_ANNOTATED</we:customFunctionIds>
        <we:customFunctionIds>_xldudf_XLWINGS_DEV_TYPE_HINTS_RET_DF_DECORATOR_OVERRIDE</we:customFunctionIds>
        <we:customFunctionIds>_xldudf_XLWINGS_DEV_VARARGS_ARG_DECORATOR</we:customFunctionIds>
        <we:customFunctionIds>_xldudf_XLWINGS_DEV_VARARGS_WITH_OBJECT_HANDLES</we:customFunctionIds>
        <we:customFunctionIds>_xldudf_XLWINGS_DEV_VARIABLE_ARGS</we:customFunctionIds>
        <we:customFunctionIds>_xldudf_XLWINGS_DEV_VIEW</we:customFunctionIds>
        <we:customFunctionIds>_xldudf_XLWINGS_DEV_VOLATILE</we:customFunctionIds>
        <we:customFunctionIds>_xldudf_XLWINGS_DEV_WRITE_2DLIST</we:customFunctionIds>
        <we:customFunctionIds>_xldudf_XLWINGS_DEV_WRITE_CACHE</we:customFunctionIds>
        <we:customFunctionIds>_xldudf_XLWINGS_DEV_WRITE_DATE</we:customFunctionIds>
        <we:customFunctionIds>_xldudf_XLWINGS_DEV_WRITE_DATETIME</we:customFunctionIds>
        <we:customFunctionIds>_xldudf_XLWINGS_DEV_WRITE_DF_0HEADER_0INDEX</we:customFunctionIds>
        <we:customFunctionIds>_xldudf_XLWINGS_DEV_WRITE_DF_0HEADER_1INDEX</we:customFunctionIds>
        <we:customFunctionIds>_xldudf_XLWINGS_DEV_WRITE_DF_0HEADER_2INDEX</we:customFunctionIds>
        <we:customFunctionIds>_xldudf_XLWINGS_DEV_WRITE_DF_1HEADER_0INDEX</we:customFunctionIds>
        <we:customFunctionIds>_xldudf_XLWINGS_DEV_WRITE_DF_1HEADER_1NAMEDINDEX</we:customFunctionIds>
        <we:customFunctionIds>_xldudf_XLWINGS_DEV_WRITE_DF_1HEADER_1UNNAMEDINDEX</we:customFunctionIds>
        <we:customFunctionIds>_xldudf_XLWINGS_DEV_WRITE_DF_1HEADER_2NAMEDINDEX</we:customFunctionIds>
        <we:customFunctionIds>_xldudf_XLWINGS_DEV_WRITE_DF_2HEADER_0INDEX</we:customFunctionIds>
        <we:customFunctionIds>_xldudf_XLWINGS_DEV_WRITE_DF_2HEADER_1NAMEDINDEX</we:customFunctionIds>
        <we:customFunctionIds>_xldudf_XLWINGS_DEV_WRITE_DF_2HEADER_1UNNAMEDINDEX</we:customFunctionIds>
        <we:customFunctionIds>_xldudf_XLWINGS_DEV_WRITE_DF_2HEADER_2NAMEDINDEX</we:customFunctionIds>
        <we:customFunctionIds>_xldudf_XLWINGS_DEV_WRITE_DF_2HEADER_2UNNAMEDINDEX</we:customFunctionIds>
        <we:customFunctionIds>_xldudf_XLWINGS_DEV_WRITE_DF_DATE_INDEX</we:customFunctionIds>
        <we:customFunctionIds>_xldudf_XLWINGS_DEV_WRITE_DICT</we:customFunctionIds>
        <we:customFunctionIds>_xldudf_XLWINGS_DEV_WRITE_ERROR_CELLS</we:customFunctionIds>
        <we:customFunctionIds>_xldudf_XLWINGS_DEV_WRITE_FLOAT</we:customFunctionIds>
        <we:customFunctionIds>_xldudf_XLWINGS_DEV_WRITE_HORIZONTAL_LIST</we:customFunctionIds>
        <we:customFunctionIds>_xldudf_XLWINGS_DEV_WRITE_NONE</we:customFunctionIds>
        <we:customFunctionIds>_xldudf_XLWINGS_DEV_WRITE_NP_SCALAR</we:customFunctionIds>
        <we:customFunctionIds>_xldudf_XLWINGS_DEV_WRITE_SERIES_HEADER_NAMED_2INDEX</we:customFunctionIds>
        <we:customFunctionIds>_xldudf_XLWINGS_DEV_WRITE_SERIES_HEADER_NAMED_INDEX</we:customFunctionIds>
        <we:customFunctionIds>_xldudf_XLWINGS_DEV_WRITE_SERIES_HEADER_NAMELESS_2INDEX</we:customFunctionIds>
        <we:customFunctionIds>_xldudf_XLWINGS_DEV_WRITE_SERIES_HEADER_NAMELESS_INDEX</we:customFunctionIds>
        <we:customFunctionIds>_xldudf_XLWINGS_DEV_WRITE_SERIES_HEADER_NOINDEX</we:customFunctionIds>
        <we:customFunctionIds>_xldudf_XLWINGS_DEV_WRITE_SERIES_NAN</we:customFunctionIds>
        <we:customFunctionIds>_xldudf_XLWINGS_DEV_WRITE_SERIES_NOHEADER_2INDEX</we:customFunctionIds>
        <we:customFunctionIds>_xldudf_XLWINGS_DEV_WRITE_SERIES_NOHEADER_INDEX</we:customFunctionIds>
        <we:customFunctionIds>_xldudf_XLWINGS_DEV_WRITE_SERIES_NOHEADER_NOINDEX</we:customFunctionIds>
        <we:customFunctionIds>_xldudf_XLWINGS_DEV_WRITE_STRING</we:customFunctionIds>
        <we:customFunctionIds>_xldudf_XLWINGS_DEV_WRITE_TIMESERIES</we:customFunctionIds>
        <we:customFunctionIds>_xldudf_XLWINGS_DEV_WRITE_TRANSPOSE</we:customFunctionIds>
        <we:customFunctionIds>_xldudf_XLWINGS_DEV_WRITE_TRANSPOSE_NPARRAY</we:customFunctionIds>
        <we:customFunctionIds>_xldudf_XLWINGS_DEV_WRITE_VERTICAL_LIST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12"/>
  <sheetViews>
    <sheetView tabSelected="1" zoomScale="125" zoomScaleNormal="125" workbookViewId="0">
      <selection activeCell="B3" sqref="B3"/>
    </sheetView>
  </sheetViews>
  <sheetFormatPr baseColWidth="10" defaultColWidth="11" defaultRowHeight="16" x14ac:dyDescent="0.2"/>
  <cols>
    <col min="2" max="2" width="39" bestFit="1" customWidth="1"/>
    <col min="3" max="3" width="13.1640625" customWidth="1"/>
    <col min="4" max="5" width="13.83203125" bestFit="1" customWidth="1"/>
    <col min="6" max="6" width="16.33203125" bestFit="1" customWidth="1"/>
    <col min="7" max="7" width="69.1640625" customWidth="1"/>
  </cols>
  <sheetData>
    <row r="1" spans="1:10" x14ac:dyDescent="0.2">
      <c r="A1" s="25" t="s">
        <v>140</v>
      </c>
      <c r="F1" s="17" t="s">
        <v>0</v>
      </c>
      <c r="G1" s="18" t="s">
        <v>1</v>
      </c>
      <c r="H1" s="14" t="s">
        <v>76</v>
      </c>
    </row>
    <row r="3" spans="1:10" x14ac:dyDescent="0.2">
      <c r="A3" s="14" t="s">
        <v>77</v>
      </c>
      <c r="B3" s="19">
        <f ca="1">COUNTA(A:A) - 2 - COUNTIF(A:A,TRUE)</f>
        <v>0</v>
      </c>
    </row>
    <row r="6" spans="1:10" x14ac:dyDescent="0.2">
      <c r="A6" t="b">
        <f>AND(H6:H7)</f>
        <v>1</v>
      </c>
      <c r="B6" s="3" t="s">
        <v>5</v>
      </c>
      <c r="C6" s="3"/>
      <c r="F6" s="1" t="b">
        <v>1</v>
      </c>
      <c r="G6" s="2" t="b" cm="1">
        <f t="array" ref="G6">_xldudf_XLWINGS_DEV_READ_FLOAT(2)</f>
        <v>1</v>
      </c>
      <c r="H6" t="b">
        <f>F6=G6</f>
        <v>1</v>
      </c>
    </row>
    <row r="7" spans="1:10" x14ac:dyDescent="0.2">
      <c r="D7">
        <v>2</v>
      </c>
      <c r="F7" s="1" t="b">
        <v>1</v>
      </c>
      <c r="G7" s="2" t="b" cm="1">
        <f t="array" ref="G7">_xldudf_XLWINGS_DEV_READ_FLOAT(D7)</f>
        <v>1</v>
      </c>
      <c r="H7" t="b">
        <f>F7=G7</f>
        <v>1</v>
      </c>
    </row>
    <row r="9" spans="1:10" x14ac:dyDescent="0.2">
      <c r="A9" t="b">
        <f>H9</f>
        <v>1</v>
      </c>
      <c r="B9" s="3" t="s">
        <v>6</v>
      </c>
      <c r="C9" s="3"/>
      <c r="F9" s="1">
        <v>2</v>
      </c>
      <c r="G9" s="2" cm="1">
        <f t="array" ref="G9">_xldudf_XLWINGS_DEV_WRITE_FLOAT()</f>
        <v>2</v>
      </c>
      <c r="H9" t="b">
        <f>F9=G9</f>
        <v>1</v>
      </c>
    </row>
    <row r="11" spans="1:10" x14ac:dyDescent="0.2">
      <c r="A11" t="b">
        <f>AND(H11:H12)</f>
        <v>1</v>
      </c>
      <c r="B11" s="3" t="s">
        <v>7</v>
      </c>
      <c r="C11" s="3"/>
      <c r="F11" s="1" t="b">
        <v>1</v>
      </c>
      <c r="G11" s="2" t="b" cm="1">
        <f t="array" ref="G11">_xldudf_XLWINGS_DEV_READ_STRING("xlwings")</f>
        <v>1</v>
      </c>
      <c r="H11" t="b">
        <f>F11=G11</f>
        <v>1</v>
      </c>
    </row>
    <row r="12" spans="1:10" x14ac:dyDescent="0.2">
      <c r="D12" s="8" t="s">
        <v>2</v>
      </c>
      <c r="F12" s="1" t="b">
        <v>1</v>
      </c>
      <c r="G12" s="2" t="b" cm="1">
        <f t="array" ref="G12">_xldudf_XLWINGS_DEV_READ_STRING(D12)</f>
        <v>1</v>
      </c>
      <c r="H12" t="b">
        <f>F12=G12</f>
        <v>1</v>
      </c>
    </row>
    <row r="14" spans="1:10" x14ac:dyDescent="0.2">
      <c r="A14" t="b">
        <f>H14</f>
        <v>1</v>
      </c>
      <c r="B14" s="3" t="s">
        <v>8</v>
      </c>
      <c r="C14" s="3"/>
      <c r="F14" s="1" t="s">
        <v>2</v>
      </c>
      <c r="G14" s="2" t="str" cm="1">
        <f t="array" ref="G14">_xldudf_XLWINGS_DEV_WRITE_STRING()</f>
        <v>xlwings</v>
      </c>
      <c r="H14" t="b">
        <f>F14=G14</f>
        <v>1</v>
      </c>
    </row>
    <row r="16" spans="1:10" x14ac:dyDescent="0.2">
      <c r="A16" t="b">
        <f>H16</f>
        <v>1</v>
      </c>
      <c r="B16" s="3" t="s">
        <v>9</v>
      </c>
      <c r="C16" s="3"/>
      <c r="D16" t="str">
        <f>""</f>
        <v/>
      </c>
      <c r="F16" s="1" t="b">
        <v>1</v>
      </c>
      <c r="G16" s="2" t="b" cm="1">
        <f t="array" ref="G16">_xldudf_XLWINGS_DEV_READ_EMPTY(D16)</f>
        <v>1</v>
      </c>
      <c r="H16" t="b">
        <f>F16=G16</f>
        <v>1</v>
      </c>
      <c r="J16" t="s">
        <v>106</v>
      </c>
    </row>
    <row r="18" spans="1:10" x14ac:dyDescent="0.2">
      <c r="A18" t="b">
        <f>H18</f>
        <v>1</v>
      </c>
      <c r="B18" s="3" t="s">
        <v>10</v>
      </c>
      <c r="C18" s="3"/>
      <c r="D18" s="4">
        <v>42019</v>
      </c>
      <c r="F18" s="1" t="b">
        <v>1</v>
      </c>
      <c r="G18" s="2" t="b" cm="1">
        <f t="array" ref="G18">_xldudf_XLWINGS_DEV_READ_DATE(D18)</f>
        <v>1</v>
      </c>
      <c r="H18" t="b">
        <f>F18=G18</f>
        <v>1</v>
      </c>
    </row>
    <row r="20" spans="1:10" x14ac:dyDescent="0.2">
      <c r="A20" t="b">
        <f>H20</f>
        <v>1</v>
      </c>
      <c r="B20" s="3" t="s">
        <v>11</v>
      </c>
      <c r="C20" s="3"/>
      <c r="D20" s="4"/>
      <c r="F20" s="5">
        <v>25568</v>
      </c>
      <c r="G20" s="6" cm="1" vm="1">
        <f t="array" ref="G20">_xldudf_XLWINGS_DEV_WRITE_DATE()</f>
        <v>25568</v>
      </c>
      <c r="H20" t="b">
        <f>F20=G20</f>
        <v>1</v>
      </c>
    </row>
    <row r="21" spans="1:10" x14ac:dyDescent="0.2">
      <c r="D21" s="4"/>
    </row>
    <row r="22" spans="1:10" x14ac:dyDescent="0.2">
      <c r="A22" t="b">
        <f>H22</f>
        <v>1</v>
      </c>
      <c r="B22" s="3" t="s">
        <v>12</v>
      </c>
      <c r="C22" s="3"/>
      <c r="D22" s="7">
        <v>27805.546087962965</v>
      </c>
      <c r="F22" s="1" t="b">
        <v>1</v>
      </c>
      <c r="G22" s="2" t="b" cm="1">
        <f t="array" ref="G22">_xldudf_XLWINGS_DEV_READ_DATETIME(D22)</f>
        <v>1</v>
      </c>
      <c r="H22" t="b">
        <f>F22=G22</f>
        <v>1</v>
      </c>
    </row>
    <row r="23" spans="1:10" x14ac:dyDescent="0.2">
      <c r="D23" s="4"/>
      <c r="F23" s="4"/>
      <c r="G23" s="4"/>
    </row>
    <row r="24" spans="1:10" x14ac:dyDescent="0.2">
      <c r="A24" t="b">
        <f>H24</f>
        <v>1</v>
      </c>
      <c r="B24" s="3" t="s">
        <v>13</v>
      </c>
      <c r="C24" s="3"/>
      <c r="D24" s="4"/>
      <c r="F24" s="15">
        <v>27805.546099537038</v>
      </c>
      <c r="G24" s="16" cm="1" vm="2">
        <f t="array" ref="G24">_xldudf_XLWINGS_DEV_WRITE_DATETIME()</f>
        <v>27805.546099537038</v>
      </c>
      <c r="H24" t="b">
        <f>F24=G24</f>
        <v>1</v>
      </c>
    </row>
    <row r="25" spans="1:10" x14ac:dyDescent="0.2">
      <c r="D25" s="4"/>
      <c r="F25" s="4"/>
      <c r="G25" s="4"/>
    </row>
    <row r="26" spans="1:10" x14ac:dyDescent="0.2">
      <c r="A26" t="b">
        <f>H26</f>
        <v>1</v>
      </c>
      <c r="B26" s="3" t="s">
        <v>14</v>
      </c>
      <c r="C26" s="3"/>
      <c r="D26">
        <v>1</v>
      </c>
      <c r="E26">
        <v>2</v>
      </c>
      <c r="F26" s="1" t="b">
        <v>1</v>
      </c>
      <c r="G26" s="2" t="b" cm="1">
        <f t="array" ref="G26">_xldudf_XLWINGS_DEV_READ_HORIZONTAL_LIST(D26:E26)</f>
        <v>1</v>
      </c>
      <c r="H26" t="b">
        <f>F26=G26</f>
        <v>1</v>
      </c>
    </row>
    <row r="28" spans="1:10" x14ac:dyDescent="0.2">
      <c r="A28" t="b">
        <f>AND(I28:J28)</f>
        <v>1</v>
      </c>
      <c r="B28" s="3" t="s">
        <v>15</v>
      </c>
      <c r="C28" s="3"/>
      <c r="E28" s="1">
        <v>1</v>
      </c>
      <c r="F28" s="1">
        <v>2</v>
      </c>
      <c r="G28" s="2" cm="1">
        <f t="array" ref="G28:H28">_xldudf_XLWINGS_DEV_WRITE_HORIZONTAL_LIST()</f>
        <v>1</v>
      </c>
      <c r="H28" s="2">
        <v>2</v>
      </c>
      <c r="I28" t="b">
        <f>E28=G28</f>
        <v>1</v>
      </c>
      <c r="J28" t="b">
        <f>F28=H28</f>
        <v>1</v>
      </c>
    </row>
    <row r="30" spans="1:10" x14ac:dyDescent="0.2">
      <c r="A30" t="b">
        <f>H30</f>
        <v>1</v>
      </c>
      <c r="B30" s="3" t="s">
        <v>16</v>
      </c>
      <c r="C30" s="3"/>
      <c r="D30">
        <v>1</v>
      </c>
      <c r="F30" s="1" t="b">
        <v>1</v>
      </c>
      <c r="G30" s="2" t="b" cm="1">
        <f t="array" ref="G30">_xldudf_XLWINGS_DEV_READ_VERTICAL_LIST(D30:D31)</f>
        <v>1</v>
      </c>
      <c r="H30" t="b">
        <f>G30=F30</f>
        <v>1</v>
      </c>
    </row>
    <row r="31" spans="1:10" x14ac:dyDescent="0.2">
      <c r="D31">
        <v>2</v>
      </c>
    </row>
    <row r="33" spans="1:10" x14ac:dyDescent="0.2">
      <c r="A33" t="b">
        <f>AND(H33:H34)</f>
        <v>1</v>
      </c>
      <c r="B33" s="3" t="s">
        <v>17</v>
      </c>
      <c r="C33" s="3"/>
      <c r="F33" s="1">
        <v>1</v>
      </c>
      <c r="G33" s="2" cm="1">
        <f t="array" ref="G33:G34">_xldudf_XLWINGS_DEV_WRITE_VERTICAL_LIST()</f>
        <v>1</v>
      </c>
      <c r="H33" t="b">
        <f>G33=F33</f>
        <v>1</v>
      </c>
    </row>
    <row r="34" spans="1:10" x14ac:dyDescent="0.2">
      <c r="F34" s="1">
        <v>2</v>
      </c>
      <c r="G34" s="2">
        <v>2</v>
      </c>
      <c r="H34" t="b">
        <f>G34=F34</f>
        <v>1</v>
      </c>
    </row>
    <row r="36" spans="1:10" x14ac:dyDescent="0.2">
      <c r="A36" t="b">
        <f>H36</f>
        <v>1</v>
      </c>
      <c r="B36" s="3" t="s">
        <v>18</v>
      </c>
      <c r="C36" s="3"/>
      <c r="D36">
        <v>1</v>
      </c>
      <c r="E36">
        <v>2</v>
      </c>
      <c r="F36" s="1" t="b">
        <v>1</v>
      </c>
      <c r="G36" s="2" t="b" cm="1">
        <f t="array" ref="G36">_xldudf_XLWINGS_DEV_READ_2DLIST(D36:E37)</f>
        <v>1</v>
      </c>
      <c r="H36" t="b">
        <f>G36=F36</f>
        <v>1</v>
      </c>
    </row>
    <row r="37" spans="1:10" x14ac:dyDescent="0.2">
      <c r="D37">
        <v>3</v>
      </c>
      <c r="E37">
        <v>4</v>
      </c>
    </row>
    <row r="39" spans="1:10" x14ac:dyDescent="0.2">
      <c r="A39" t="b">
        <f>AND(I39:J40)</f>
        <v>1</v>
      </c>
      <c r="B39" s="3" t="s">
        <v>19</v>
      </c>
      <c r="C39" s="3"/>
      <c r="E39" s="1">
        <v>1</v>
      </c>
      <c r="F39" s="1">
        <v>2</v>
      </c>
      <c r="G39" s="2" cm="1">
        <f t="array" ref="G39:H40">_xldudf_XLWINGS_DEV_WRITE_2DLIST()</f>
        <v>1</v>
      </c>
      <c r="H39" s="2">
        <v>2</v>
      </c>
      <c r="I39" t="b">
        <f>G39=E39</f>
        <v>1</v>
      </c>
      <c r="J39" t="b">
        <f>H39=F39</f>
        <v>1</v>
      </c>
    </row>
    <row r="40" spans="1:10" x14ac:dyDescent="0.2">
      <c r="E40" s="1">
        <v>3</v>
      </c>
      <c r="F40" s="1">
        <v>4</v>
      </c>
      <c r="G40" s="2">
        <v>3</v>
      </c>
      <c r="H40" s="2">
        <v>4</v>
      </c>
      <c r="I40" t="b">
        <f>G40=E40</f>
        <v>1</v>
      </c>
      <c r="J40" t="b">
        <f>H40=F40</f>
        <v>1</v>
      </c>
    </row>
    <row r="42" spans="1:10" x14ac:dyDescent="0.2">
      <c r="A42" t="b">
        <f>H42</f>
        <v>1</v>
      </c>
      <c r="B42" s="3" t="s">
        <v>20</v>
      </c>
      <c r="C42" s="3"/>
      <c r="D42">
        <v>2</v>
      </c>
      <c r="F42" s="1" t="b">
        <v>1</v>
      </c>
      <c r="G42" s="2" t="b" cm="1">
        <f t="array" ref="G42">_xldudf_XLWINGS_DEV_READ_NDIM1(D42)</f>
        <v>1</v>
      </c>
      <c r="H42" t="b">
        <f>G42=F42</f>
        <v>1</v>
      </c>
    </row>
    <row r="44" spans="1:10" x14ac:dyDescent="0.2">
      <c r="A44" t="b">
        <f>H44</f>
        <v>1</v>
      </c>
      <c r="B44" s="3" t="s">
        <v>21</v>
      </c>
      <c r="C44" s="3"/>
      <c r="D44">
        <v>2</v>
      </c>
      <c r="F44" s="1" t="b">
        <v>1</v>
      </c>
      <c r="G44" s="2" t="b" cm="1">
        <f t="array" ref="G44">_xldudf_XLWINGS_DEV_READ_NDIM2(D44)</f>
        <v>1</v>
      </c>
      <c r="H44" t="b">
        <f>G44=F44</f>
        <v>1</v>
      </c>
    </row>
    <row r="46" spans="1:10" x14ac:dyDescent="0.2">
      <c r="A46" t="b">
        <f>H46</f>
        <v>1</v>
      </c>
      <c r="B46" s="3" t="s">
        <v>22</v>
      </c>
      <c r="C46" s="3"/>
      <c r="D46">
        <v>1</v>
      </c>
      <c r="E46">
        <v>2</v>
      </c>
      <c r="F46" s="1" t="b">
        <v>1</v>
      </c>
      <c r="G46" s="2" t="b" cm="1">
        <f t="array" ref="G46">_xldudf_XLWINGS_DEV_READ_TRANSPOSE(D46:E47)</f>
        <v>1</v>
      </c>
      <c r="H46" t="b">
        <f>G46=F46</f>
        <v>1</v>
      </c>
    </row>
    <row r="47" spans="1:10" x14ac:dyDescent="0.2">
      <c r="D47">
        <v>3</v>
      </c>
      <c r="E47">
        <v>4</v>
      </c>
    </row>
    <row r="49" spans="1:10" x14ac:dyDescent="0.2">
      <c r="A49" t="b">
        <f>AND(I49:J50)</f>
        <v>1</v>
      </c>
      <c r="B49" s="3" t="s">
        <v>23</v>
      </c>
      <c r="C49" s="3"/>
      <c r="E49" s="1">
        <v>1</v>
      </c>
      <c r="F49" s="1">
        <v>3</v>
      </c>
      <c r="G49" s="2" cm="1">
        <f t="array" ref="G49:H50">_xldudf_XLWINGS_DEV_WRITE_TRANSPOSE()</f>
        <v>1</v>
      </c>
      <c r="H49" s="2">
        <v>3</v>
      </c>
      <c r="I49" t="b">
        <f>G49=E49</f>
        <v>1</v>
      </c>
      <c r="J49" t="b">
        <f>H49=F49</f>
        <v>1</v>
      </c>
    </row>
    <row r="50" spans="1:10" x14ac:dyDescent="0.2">
      <c r="E50" s="1">
        <v>2</v>
      </c>
      <c r="F50" s="1">
        <v>4</v>
      </c>
      <c r="G50" s="2">
        <v>2</v>
      </c>
      <c r="H50" s="2">
        <v>4</v>
      </c>
      <c r="I50" t="b">
        <f>G50=E50</f>
        <v>1</v>
      </c>
      <c r="J50" t="b">
        <f>H50=F50</f>
        <v>1</v>
      </c>
    </row>
    <row r="52" spans="1:10" x14ac:dyDescent="0.2">
      <c r="A52" t="b">
        <f>H52</f>
        <v>1</v>
      </c>
      <c r="B52" s="3" t="s">
        <v>24</v>
      </c>
      <c r="C52" s="3"/>
      <c r="D52">
        <v>1</v>
      </c>
      <c r="E52" s="4">
        <v>42017</v>
      </c>
      <c r="F52" s="1" t="b">
        <v>1</v>
      </c>
      <c r="G52" s="2" t="b" cm="1">
        <f t="array" ref="G52">_xldudf_XLWINGS_DEV_READ_DATES_AS1(D52:E53)</f>
        <v>1</v>
      </c>
      <c r="H52" t="b">
        <f>G52=F52</f>
        <v>1</v>
      </c>
    </row>
    <row r="53" spans="1:10" x14ac:dyDescent="0.2">
      <c r="D53" s="4">
        <v>36861</v>
      </c>
      <c r="E53">
        <v>4</v>
      </c>
    </row>
    <row r="54" spans="1:10" x14ac:dyDescent="0.2">
      <c r="D54" s="4"/>
    </row>
    <row r="55" spans="1:10" x14ac:dyDescent="0.2">
      <c r="A55" t="b">
        <f>H55</f>
        <v>1</v>
      </c>
      <c r="B55" s="3" t="s">
        <v>25</v>
      </c>
      <c r="C55" s="3"/>
      <c r="D55" s="4"/>
      <c r="E55" s="7">
        <v>38367.541666666664</v>
      </c>
      <c r="F55" s="1" t="b">
        <v>1</v>
      </c>
      <c r="G55" s="2" t="b" cm="1">
        <f t="array" ref="G55">_xldudf_XLWINGS_DEV_READ_DATES_AS2(E55)</f>
        <v>1</v>
      </c>
      <c r="H55" t="b">
        <f>G55=F55</f>
        <v>1</v>
      </c>
    </row>
    <row r="56" spans="1:10" x14ac:dyDescent="0.2">
      <c r="D56" s="4"/>
    </row>
    <row r="58" spans="1:10" x14ac:dyDescent="0.2">
      <c r="A58" t="b">
        <f>H58</f>
        <v>1</v>
      </c>
      <c r="B58" s="3" t="s">
        <v>26</v>
      </c>
      <c r="C58" s="3"/>
      <c r="D58">
        <v>1</v>
      </c>
      <c r="E58" s="4">
        <v>42017</v>
      </c>
      <c r="F58" s="1" t="b">
        <v>1</v>
      </c>
      <c r="G58" s="2" t="b" cm="1">
        <f t="array" ref="G58">_xldudf_XLWINGS_DEV_READ_DATES_AS3(D58:E59)</f>
        <v>1</v>
      </c>
      <c r="H58" t="b">
        <f>G58=F58</f>
        <v>1</v>
      </c>
    </row>
    <row r="59" spans="1:10" x14ac:dyDescent="0.2">
      <c r="D59" s="4">
        <v>36861</v>
      </c>
      <c r="E59">
        <v>4</v>
      </c>
    </row>
    <row r="61" spans="1:10" x14ac:dyDescent="0.2">
      <c r="A61" t="b">
        <f>H61</f>
        <v>1</v>
      </c>
      <c r="B61" s="3" t="s">
        <v>27</v>
      </c>
      <c r="C61" s="3"/>
      <c r="D61">
        <v>1</v>
      </c>
      <c r="E61" s="4" t="str">
        <f>""</f>
        <v/>
      </c>
      <c r="F61" s="1" t="b">
        <v>1</v>
      </c>
      <c r="G61" s="2" t="b" cm="1">
        <f t="array" ref="G61">_xldudf_XLWINGS_DEV_READ_EMPTY_AS(D61:E62)</f>
        <v>1</v>
      </c>
      <c r="H61" t="b">
        <f>G61=F61</f>
        <v>1</v>
      </c>
    </row>
    <row r="62" spans="1:10" x14ac:dyDescent="0.2">
      <c r="D62" s="4" t="str">
        <f>""</f>
        <v/>
      </c>
      <c r="E62">
        <v>4</v>
      </c>
    </row>
    <row r="63" spans="1:10" x14ac:dyDescent="0.2">
      <c r="D63" s="4"/>
    </row>
    <row r="64" spans="1:10" x14ac:dyDescent="0.2">
      <c r="A64" t="b">
        <f>H64</f>
        <v>1</v>
      </c>
      <c r="B64" s="3" t="s">
        <v>99</v>
      </c>
      <c r="C64" s="3"/>
      <c r="D64" s="8" t="s">
        <v>50</v>
      </c>
      <c r="E64" s="8">
        <v>1</v>
      </c>
      <c r="F64" s="1" t="b">
        <v>1</v>
      </c>
      <c r="G64" s="2" t="b" cm="1">
        <f t="array" ref="G64">_xldudf_XLWINGS_DEV_READ_DICT(D64:E65)</f>
        <v>1</v>
      </c>
      <c r="H64" t="b">
        <f>G64=F64</f>
        <v>1</v>
      </c>
    </row>
    <row r="65" spans="1:10" x14ac:dyDescent="0.2">
      <c r="D65" s="8" t="s">
        <v>51</v>
      </c>
      <c r="E65" s="8" t="s">
        <v>52</v>
      </c>
    </row>
    <row r="67" spans="1:10" x14ac:dyDescent="0.2">
      <c r="A67" t="b">
        <f>H67</f>
        <v>1</v>
      </c>
      <c r="B67" s="3" t="s">
        <v>100</v>
      </c>
      <c r="C67" s="3"/>
      <c r="D67" s="8" t="s">
        <v>50</v>
      </c>
      <c r="E67" s="8">
        <v>1</v>
      </c>
      <c r="F67" s="1" t="b">
        <v>1</v>
      </c>
      <c r="G67" s="2" t="b" cm="1">
        <f t="array" ref="G67">_xldudf_XLWINGS_DEV_READ_DICT_TRANSPOSE(D67:E68)</f>
        <v>1</v>
      </c>
      <c r="H67" t="b">
        <f>G67=F67</f>
        <v>1</v>
      </c>
    </row>
    <row r="68" spans="1:10" x14ac:dyDescent="0.2">
      <c r="D68" s="8" t="s">
        <v>51</v>
      </c>
      <c r="E68" s="8" t="s">
        <v>52</v>
      </c>
    </row>
    <row r="70" spans="1:10" x14ac:dyDescent="0.2">
      <c r="A70" t="b">
        <f>AND(I70:J71)</f>
        <v>1</v>
      </c>
      <c r="B70" s="3" t="s">
        <v>53</v>
      </c>
      <c r="C70" s="3"/>
      <c r="E70" s="10" t="s">
        <v>50</v>
      </c>
      <c r="F70" s="10">
        <v>1</v>
      </c>
      <c r="G70" s="11" t="str" cm="1">
        <f t="array" ref="G70:H71">_xldudf_XLWINGS_DEV_WRITE_DICT()</f>
        <v>a</v>
      </c>
      <c r="H70" s="11">
        <v>1</v>
      </c>
      <c r="I70" t="b">
        <f>OR(G70=E70,G70=E71)</f>
        <v>1</v>
      </c>
      <c r="J70" t="b">
        <f>OR(H70=F70,H70=F71)</f>
        <v>1</v>
      </c>
    </row>
    <row r="71" spans="1:10" x14ac:dyDescent="0.2">
      <c r="E71" s="10" t="s">
        <v>51</v>
      </c>
      <c r="F71" s="10" t="s">
        <v>52</v>
      </c>
      <c r="G71" s="11" t="str">
        <v>b</v>
      </c>
      <c r="H71" s="11" t="str">
        <v>c</v>
      </c>
      <c r="I71" t="b">
        <f>OR(G71=E71,G71=E70)</f>
        <v>1</v>
      </c>
      <c r="J71" t="b">
        <f>OR(H71=F71,F70)</f>
        <v>1</v>
      </c>
    </row>
    <row r="73" spans="1:10" x14ac:dyDescent="0.2">
      <c r="A73" t="b">
        <f>H73</f>
        <v>1</v>
      </c>
      <c r="B73" s="3" t="s">
        <v>28</v>
      </c>
      <c r="C73" s="3"/>
      <c r="D73">
        <v>1</v>
      </c>
      <c r="F73" s="1" t="b">
        <v>1</v>
      </c>
      <c r="G73" s="2" t="b">
        <f>_xldudf_XLWINGS_DEV_READ_SCALAR_NPARRAY(D73)</f>
        <v>1</v>
      </c>
      <c r="H73" t="b">
        <f>G73=F73</f>
        <v>1</v>
      </c>
    </row>
    <row r="74" spans="1:10" x14ac:dyDescent="0.2">
      <c r="B74" s="3"/>
      <c r="C74" s="3"/>
    </row>
    <row r="75" spans="1:10" x14ac:dyDescent="0.2">
      <c r="A75" t="b">
        <f>H75</f>
        <v>1</v>
      </c>
      <c r="B75" s="3" t="s">
        <v>29</v>
      </c>
      <c r="C75" s="3"/>
      <c r="F75" s="1" t="b">
        <v>1</v>
      </c>
      <c r="G75" s="2" t="b" cm="1">
        <f t="array" ref="G75">_xldudf_XLWINGS_DEV_READ_EMPTY_NPARRAY(D76)</f>
        <v>1</v>
      </c>
      <c r="H75" t="b">
        <f>G75=F75</f>
        <v>1</v>
      </c>
    </row>
    <row r="76" spans="1:10" x14ac:dyDescent="0.2">
      <c r="B76" s="3"/>
      <c r="C76" s="3"/>
      <c r="D76" t="str">
        <f>""</f>
        <v/>
      </c>
    </row>
    <row r="77" spans="1:10" x14ac:dyDescent="0.2">
      <c r="A77" t="b">
        <f>H77</f>
        <v>1</v>
      </c>
      <c r="B77" s="3" t="s">
        <v>30</v>
      </c>
      <c r="C77" s="3"/>
      <c r="D77">
        <v>1</v>
      </c>
      <c r="E77">
        <v>2</v>
      </c>
      <c r="F77" s="1" t="b">
        <v>1</v>
      </c>
      <c r="G77" s="2" t="b" cm="1">
        <f t="array" ref="G77">_xldudf_XLWINGS_DEV_READ_HORIZONTAL_NPARRAY(D77:E77)</f>
        <v>1</v>
      </c>
      <c r="H77" t="b">
        <f>G77=F77</f>
        <v>1</v>
      </c>
    </row>
    <row r="79" spans="1:10" x14ac:dyDescent="0.2">
      <c r="A79" t="b">
        <f>H79</f>
        <v>1</v>
      </c>
      <c r="B79" s="3" t="s">
        <v>31</v>
      </c>
      <c r="C79" s="3"/>
      <c r="D79">
        <v>1</v>
      </c>
      <c r="F79" s="1" t="b">
        <v>1</v>
      </c>
      <c r="G79" s="2" t="b" cm="1">
        <f t="array" ref="G79">_xldudf_XLWINGS_DEV_READ_VERTICAL_NPARRAY(D79:D80)</f>
        <v>1</v>
      </c>
      <c r="H79" t="b">
        <f>G79=F79</f>
        <v>1</v>
      </c>
    </row>
    <row r="80" spans="1:10" x14ac:dyDescent="0.2">
      <c r="D80">
        <v>2</v>
      </c>
    </row>
    <row r="82" spans="1:10" x14ac:dyDescent="0.2">
      <c r="A82" t="b">
        <f>H82</f>
        <v>1</v>
      </c>
      <c r="B82" s="3" t="s">
        <v>32</v>
      </c>
      <c r="C82" s="3"/>
      <c r="D82">
        <v>2</v>
      </c>
      <c r="F82" s="1" t="b">
        <v>1</v>
      </c>
      <c r="G82" s="2" t="b" cm="1">
        <f t="array" ref="G82">_xldudf_XLWINGS_DEV_READ_NDIM1_NPARRAY(D82)</f>
        <v>1</v>
      </c>
      <c r="H82" t="b">
        <f>G82=F82</f>
        <v>1</v>
      </c>
    </row>
    <row r="84" spans="1:10" x14ac:dyDescent="0.2">
      <c r="A84" t="b">
        <f>H84</f>
        <v>1</v>
      </c>
      <c r="B84" s="3" t="s">
        <v>33</v>
      </c>
      <c r="C84" s="3"/>
      <c r="D84">
        <v>2</v>
      </c>
      <c r="F84" s="1" t="b">
        <v>1</v>
      </c>
      <c r="G84" s="2" t="b" cm="1">
        <f t="array" ref="G84">_xldudf_XLWINGS_DEV_READ_NDIM2_NPARRAY(D84)</f>
        <v>1</v>
      </c>
      <c r="H84" t="b">
        <f>G84=F84</f>
        <v>1</v>
      </c>
    </row>
    <row r="86" spans="1:10" x14ac:dyDescent="0.2">
      <c r="A86" t="b">
        <f>H86</f>
        <v>1</v>
      </c>
      <c r="B86" s="3" t="s">
        <v>34</v>
      </c>
      <c r="C86" s="3"/>
      <c r="D86">
        <v>1</v>
      </c>
      <c r="E86">
        <v>2</v>
      </c>
      <c r="F86" s="1" t="b">
        <v>1</v>
      </c>
      <c r="G86" s="2" t="b" cm="1">
        <f t="array" ref="G86">_xldudf_XLWINGS_DEV_READ_TRANSPOSE_NPARRAY(D86:E87)</f>
        <v>1</v>
      </c>
      <c r="H86" t="b">
        <f>G86=F86</f>
        <v>1</v>
      </c>
    </row>
    <row r="87" spans="1:10" x14ac:dyDescent="0.2">
      <c r="D87">
        <v>3</v>
      </c>
      <c r="E87">
        <v>4</v>
      </c>
    </row>
    <row r="89" spans="1:10" x14ac:dyDescent="0.2">
      <c r="A89" t="b">
        <f>AND(I89:J90)</f>
        <v>1</v>
      </c>
      <c r="B89" s="3" t="s">
        <v>35</v>
      </c>
      <c r="C89" s="3"/>
      <c r="E89" s="1">
        <v>1</v>
      </c>
      <c r="F89" s="1">
        <v>3</v>
      </c>
      <c r="G89" s="2" cm="1">
        <f t="array" ref="G89:H90">_xldudf_XLWINGS_DEV_WRITE_TRANSPOSE_NPARRAY()</f>
        <v>1</v>
      </c>
      <c r="H89" s="2">
        <v>3</v>
      </c>
      <c r="I89" t="b">
        <f>G89=E89</f>
        <v>1</v>
      </c>
      <c r="J89" t="b">
        <f>H89=F89</f>
        <v>1</v>
      </c>
    </row>
    <row r="90" spans="1:10" x14ac:dyDescent="0.2">
      <c r="E90" s="1">
        <v>2</v>
      </c>
      <c r="F90" s="1">
        <v>4</v>
      </c>
      <c r="G90" s="2">
        <v>2</v>
      </c>
      <c r="H90" s="2">
        <v>4</v>
      </c>
      <c r="I90" t="b">
        <f>G90=E90</f>
        <v>1</v>
      </c>
      <c r="J90" t="b">
        <f>H90=F90</f>
        <v>1</v>
      </c>
    </row>
    <row r="92" spans="1:10" x14ac:dyDescent="0.2">
      <c r="A92" t="b">
        <f>H92</f>
        <v>1</v>
      </c>
      <c r="B92" s="3" t="s">
        <v>36</v>
      </c>
      <c r="C92" s="3"/>
      <c r="D92" s="4">
        <v>36880</v>
      </c>
      <c r="F92" s="1" t="b">
        <v>1</v>
      </c>
      <c r="G92" s="2" t="b" cm="1">
        <f t="array" ref="G92">_xldudf_XLWINGS_DEV_READ_DATE_NPARRAY(D92)</f>
        <v>1</v>
      </c>
      <c r="H92" t="b">
        <f>G92=F92</f>
        <v>1</v>
      </c>
    </row>
    <row r="94" spans="1:10" x14ac:dyDescent="0.2">
      <c r="A94" t="b">
        <f>H94</f>
        <v>1</v>
      </c>
      <c r="B94" s="3" t="s">
        <v>37</v>
      </c>
      <c r="C94" s="3"/>
      <c r="D94" s="4">
        <v>36880</v>
      </c>
      <c r="F94" s="1" t="b">
        <v>1</v>
      </c>
      <c r="G94" s="2" t="b" cm="1">
        <f t="array" ref="G94">_xldudf_XLWINGS_DEV_READ_DATES_AS_NPARRAY(D94)</f>
        <v>1</v>
      </c>
      <c r="H94" t="b">
        <f>G94=F94</f>
        <v>1</v>
      </c>
    </row>
    <row r="96" spans="1:10" x14ac:dyDescent="0.2">
      <c r="A96" t="b">
        <f>H96</f>
        <v>1</v>
      </c>
      <c r="B96" s="3" t="s">
        <v>38</v>
      </c>
      <c r="C96" s="3"/>
      <c r="D96" t="str">
        <f>""</f>
        <v/>
      </c>
      <c r="F96" s="1" t="b">
        <v>1</v>
      </c>
      <c r="G96" s="2" t="b" cm="1">
        <f t="array" ref="G96">_xldudf_XLWINGS_DEV_READ_EMPTY_AS_NPARRAY(D96)</f>
        <v>1</v>
      </c>
      <c r="H96" t="b">
        <f>G96=F96</f>
        <v>1</v>
      </c>
    </row>
    <row r="97" spans="1:10" x14ac:dyDescent="0.2">
      <c r="B97" s="3"/>
      <c r="C97" s="3"/>
    </row>
    <row r="98" spans="1:10" x14ac:dyDescent="0.2">
      <c r="A98" t="b">
        <f>H98</f>
        <v>1</v>
      </c>
      <c r="B98" s="3" t="s">
        <v>89</v>
      </c>
      <c r="C98" s="3"/>
      <c r="F98" s="1">
        <v>2</v>
      </c>
      <c r="G98" s="2" cm="1">
        <f t="array" ref="G98">_xldudf_XLWINGS_DEV_WRITE_NP_SCALAR()</f>
        <v>2</v>
      </c>
      <c r="H98" t="b">
        <f>G98=F98</f>
        <v>1</v>
      </c>
    </row>
    <row r="99" spans="1:10" x14ac:dyDescent="0.2">
      <c r="B99" s="3"/>
      <c r="C99" s="3"/>
    </row>
    <row r="100" spans="1:10" x14ac:dyDescent="0.2">
      <c r="A100" t="b">
        <f>H100</f>
        <v>1</v>
      </c>
      <c r="B100" s="3" t="s">
        <v>39</v>
      </c>
      <c r="C100" s="3"/>
      <c r="D100">
        <v>1</v>
      </c>
      <c r="F100" s="1" t="b">
        <v>1</v>
      </c>
      <c r="G100" s="2" t="b" cm="1">
        <f t="array" ref="G100">_xldudf_XLWINGS_DEV_READ_SERIES_NOHEADER_NOINDEX(D100:D101)</f>
        <v>1</v>
      </c>
      <c r="H100" t="b">
        <f>G100=F100</f>
        <v>1</v>
      </c>
      <c r="J100" t="s">
        <v>107</v>
      </c>
    </row>
    <row r="101" spans="1:10" x14ac:dyDescent="0.2">
      <c r="D101">
        <v>2</v>
      </c>
    </row>
    <row r="103" spans="1:10" x14ac:dyDescent="0.2">
      <c r="A103" t="b">
        <f>H103</f>
        <v>1</v>
      </c>
      <c r="B103" s="3" t="s">
        <v>108</v>
      </c>
      <c r="C103" s="3"/>
      <c r="D103">
        <v>10</v>
      </c>
      <c r="E103">
        <v>1</v>
      </c>
      <c r="F103" s="1" t="b">
        <v>1</v>
      </c>
      <c r="G103" s="2" t="b" cm="1">
        <f t="array" ref="G103">_xldudf_XLWINGS_DEV_READ_SERIES_NOHEADER_INDEX(D103:E104)</f>
        <v>1</v>
      </c>
      <c r="H103" t="b">
        <f>G103=F103</f>
        <v>1</v>
      </c>
    </row>
    <row r="104" spans="1:10" x14ac:dyDescent="0.2">
      <c r="D104">
        <v>20</v>
      </c>
      <c r="E104">
        <v>2</v>
      </c>
    </row>
    <row r="106" spans="1:10" x14ac:dyDescent="0.2">
      <c r="A106" t="b">
        <f>H106</f>
        <v>1</v>
      </c>
      <c r="B106" s="3" t="s">
        <v>109</v>
      </c>
      <c r="C106" s="3"/>
      <c r="E106" s="8" t="s">
        <v>3</v>
      </c>
      <c r="F106" s="1" t="b">
        <v>1</v>
      </c>
      <c r="G106" s="2" t="b" cm="1">
        <f t="array" ref="G106">_xldudf_XLWINGS_DEV_READ_SERIES_HEADER_NOINDEX(E106:E108)</f>
        <v>1</v>
      </c>
      <c r="H106" t="b">
        <f>G106=F106</f>
        <v>1</v>
      </c>
    </row>
    <row r="107" spans="1:10" x14ac:dyDescent="0.2">
      <c r="E107">
        <v>1</v>
      </c>
    </row>
    <row r="108" spans="1:10" x14ac:dyDescent="0.2">
      <c r="E108">
        <v>2</v>
      </c>
    </row>
    <row r="110" spans="1:10" x14ac:dyDescent="0.2">
      <c r="A110" t="b">
        <f>H110</f>
        <v>1</v>
      </c>
      <c r="B110" s="3" t="s">
        <v>40</v>
      </c>
      <c r="C110" s="3"/>
      <c r="D110" s="8" t="s">
        <v>4</v>
      </c>
      <c r="E110" s="8" t="s">
        <v>3</v>
      </c>
      <c r="F110" s="1" t="b">
        <v>1</v>
      </c>
      <c r="G110" s="2" t="b" cm="1">
        <f t="array" ref="G110">_xldudf_XLWINGS_DEV_READ_SERIES_HEADER_NAMED_INDEX(D110:E112)</f>
        <v>1</v>
      </c>
      <c r="H110" t="b">
        <f>G110=F110</f>
        <v>1</v>
      </c>
    </row>
    <row r="111" spans="1:10" x14ac:dyDescent="0.2">
      <c r="D111">
        <v>10</v>
      </c>
      <c r="E111">
        <v>1</v>
      </c>
    </row>
    <row r="112" spans="1:10" x14ac:dyDescent="0.2">
      <c r="D112">
        <v>20</v>
      </c>
      <c r="E112">
        <v>2</v>
      </c>
    </row>
    <row r="114" spans="1:10" x14ac:dyDescent="0.2">
      <c r="A114" t="b">
        <f>H114</f>
        <v>1</v>
      </c>
      <c r="B114" s="3" t="s">
        <v>41</v>
      </c>
      <c r="C114" s="3"/>
      <c r="D114" t="str">
        <f>""</f>
        <v/>
      </c>
      <c r="E114" s="8" t="s">
        <v>3</v>
      </c>
      <c r="F114" s="1" t="b">
        <v>1</v>
      </c>
      <c r="G114" s="2" t="b" cm="1">
        <f t="array" ref="G114">_xldudf_XLWINGS_DEV_READ_SERIES_HEADER_NAMELESS_INDEX(D114:E116)</f>
        <v>1</v>
      </c>
      <c r="H114" t="b">
        <f>G114=F114</f>
        <v>1</v>
      </c>
    </row>
    <row r="115" spans="1:10" x14ac:dyDescent="0.2">
      <c r="D115">
        <v>10</v>
      </c>
      <c r="E115">
        <v>1</v>
      </c>
    </row>
    <row r="116" spans="1:10" x14ac:dyDescent="0.2">
      <c r="D116">
        <v>20</v>
      </c>
      <c r="E116">
        <v>2</v>
      </c>
    </row>
    <row r="118" spans="1:10" x14ac:dyDescent="0.2">
      <c r="A118" t="b">
        <f>AND(H118:H119)</f>
        <v>1</v>
      </c>
      <c r="B118" s="3" t="s">
        <v>42</v>
      </c>
      <c r="C118" s="3"/>
      <c r="F118" s="1">
        <v>1</v>
      </c>
      <c r="G118" s="2" cm="1">
        <f t="array" ref="G118:G119">_xldudf_XLWINGS_DEV_WRITE_SERIES_NOHEADER_NOINDEX()</f>
        <v>1</v>
      </c>
      <c r="H118" t="b">
        <f t="shared" ref="H118:H119" si="0">G118=F118</f>
        <v>1</v>
      </c>
    </row>
    <row r="119" spans="1:10" x14ac:dyDescent="0.2">
      <c r="F119" s="1">
        <v>2</v>
      </c>
      <c r="G119" s="2">
        <v>2</v>
      </c>
      <c r="H119" t="b">
        <f t="shared" si="0"/>
        <v>1</v>
      </c>
    </row>
    <row r="121" spans="1:10" x14ac:dyDescent="0.2">
      <c r="A121" t="b">
        <f>AND(I121:J122)</f>
        <v>1</v>
      </c>
      <c r="B121" s="3" t="s">
        <v>43</v>
      </c>
      <c r="C121" s="3"/>
      <c r="E121" s="1">
        <v>10</v>
      </c>
      <c r="F121" s="1">
        <v>1</v>
      </c>
      <c r="G121" s="2" cm="1">
        <f t="array" ref="G121:H122">_xldudf_XLWINGS_DEV_WRITE_SERIES_NOHEADER_INDEX()</f>
        <v>10</v>
      </c>
      <c r="H121" s="2">
        <v>1</v>
      </c>
      <c r="I121" t="b">
        <f>G121=E121</f>
        <v>1</v>
      </c>
      <c r="J121" t="b">
        <f>H121=F121</f>
        <v>1</v>
      </c>
    </row>
    <row r="122" spans="1:10" x14ac:dyDescent="0.2">
      <c r="E122" s="1">
        <v>20</v>
      </c>
      <c r="F122" s="1">
        <v>2</v>
      </c>
      <c r="G122" s="2">
        <v>20</v>
      </c>
      <c r="H122" s="2">
        <v>2</v>
      </c>
      <c r="I122" t="b">
        <f>G122=E122</f>
        <v>1</v>
      </c>
      <c r="J122" t="b">
        <f>H122=F122</f>
        <v>1</v>
      </c>
    </row>
    <row r="124" spans="1:10" x14ac:dyDescent="0.2">
      <c r="A124" t="b">
        <f>AND(H124:H126)</f>
        <v>1</v>
      </c>
      <c r="B124" s="3" t="s">
        <v>44</v>
      </c>
      <c r="C124" s="3"/>
      <c r="F124" s="10" t="s">
        <v>3</v>
      </c>
      <c r="G124" s="11" t="str" cm="1">
        <f t="array" ref="G124:G126">_xldudf_XLWINGS_DEV_WRITE_SERIES_HEADER_NOINDEX()</f>
        <v>name</v>
      </c>
      <c r="H124" t="b">
        <f>F124=G124</f>
        <v>1</v>
      </c>
    </row>
    <row r="125" spans="1:10" x14ac:dyDescent="0.2">
      <c r="F125" s="10">
        <v>1</v>
      </c>
      <c r="G125" s="11">
        <v>1</v>
      </c>
      <c r="H125" t="b">
        <f>F125=G125</f>
        <v>1</v>
      </c>
    </row>
    <row r="126" spans="1:10" x14ac:dyDescent="0.2">
      <c r="F126" s="10">
        <v>2</v>
      </c>
      <c r="G126" s="11">
        <v>2</v>
      </c>
      <c r="H126" t="b">
        <f>F126=G126</f>
        <v>1</v>
      </c>
    </row>
    <row r="128" spans="1:10" x14ac:dyDescent="0.2">
      <c r="A128" t="b">
        <f>AND(I128:J130)</f>
        <v>1</v>
      </c>
      <c r="B128" s="3" t="s">
        <v>45</v>
      </c>
      <c r="C128" s="3"/>
      <c r="E128" s="10" t="s">
        <v>4</v>
      </c>
      <c r="F128" s="10" t="s">
        <v>3</v>
      </c>
      <c r="G128" s="11" t="str" cm="1">
        <f t="array" ref="G128:H130">_xldudf_XLWINGS_DEV_WRITE_SERIES_HEADER_NAMED_INDEX()</f>
        <v>ix</v>
      </c>
      <c r="H128" s="11" t="str">
        <v>name</v>
      </c>
      <c r="I128" t="b">
        <f>G128=E128</f>
        <v>1</v>
      </c>
      <c r="J128" t="b">
        <f>H128=F128</f>
        <v>1</v>
      </c>
    </row>
    <row r="129" spans="1:10" x14ac:dyDescent="0.2">
      <c r="E129" s="10">
        <v>10</v>
      </c>
      <c r="F129" s="10">
        <v>1</v>
      </c>
      <c r="G129" s="11">
        <v>10</v>
      </c>
      <c r="H129" s="11">
        <v>1</v>
      </c>
      <c r="I129" t="b">
        <f t="shared" ref="I129:J130" si="1">G129=E129</f>
        <v>1</v>
      </c>
      <c r="J129" t="b">
        <f t="shared" si="1"/>
        <v>1</v>
      </c>
    </row>
    <row r="130" spans="1:10" x14ac:dyDescent="0.2">
      <c r="E130" s="10">
        <v>20</v>
      </c>
      <c r="F130" s="10">
        <v>2</v>
      </c>
      <c r="G130" s="11">
        <v>20</v>
      </c>
      <c r="H130" s="11">
        <v>2</v>
      </c>
      <c r="I130" t="b">
        <f t="shared" si="1"/>
        <v>1</v>
      </c>
      <c r="J130" t="b">
        <f t="shared" si="1"/>
        <v>1</v>
      </c>
    </row>
    <row r="132" spans="1:10" x14ac:dyDescent="0.2">
      <c r="A132" t="b">
        <f>AND(I132:J134)</f>
        <v>1</v>
      </c>
      <c r="B132" s="3" t="s">
        <v>46</v>
      </c>
      <c r="C132" s="3"/>
      <c r="E132" s="1"/>
      <c r="F132" s="1" t="s">
        <v>3</v>
      </c>
      <c r="G132" s="2" t="str" cm="1">
        <f t="array" ref="G132:H134">_xldudf_XLWINGS_DEV_WRITE_SERIES_HEADER_NAMELESS_INDEX()</f>
        <v/>
      </c>
      <c r="H132" s="2" t="str">
        <v>name</v>
      </c>
      <c r="I132" t="b">
        <f>G132=E132</f>
        <v>1</v>
      </c>
      <c r="J132" t="b">
        <f>H132=F132</f>
        <v>1</v>
      </c>
    </row>
    <row r="133" spans="1:10" x14ac:dyDescent="0.2">
      <c r="E133" s="1">
        <v>10</v>
      </c>
      <c r="F133" s="1">
        <v>1</v>
      </c>
      <c r="G133" s="2">
        <v>10</v>
      </c>
      <c r="H133" s="2">
        <v>1</v>
      </c>
      <c r="I133" t="b">
        <f t="shared" ref="I133:I134" si="2">G133=E133</f>
        <v>1</v>
      </c>
      <c r="J133" t="b">
        <f t="shared" ref="J133:J134" si="3">H133=F133</f>
        <v>1</v>
      </c>
    </row>
    <row r="134" spans="1:10" x14ac:dyDescent="0.2">
      <c r="E134" s="1">
        <v>20</v>
      </c>
      <c r="F134" s="1">
        <v>2</v>
      </c>
      <c r="G134" s="2">
        <v>20</v>
      </c>
      <c r="H134" s="2">
        <v>2</v>
      </c>
      <c r="I134" t="b">
        <f t="shared" si="2"/>
        <v>1</v>
      </c>
      <c r="J134" t="b">
        <f t="shared" si="3"/>
        <v>1</v>
      </c>
    </row>
    <row r="136" spans="1:10" x14ac:dyDescent="0.2">
      <c r="A136" t="b">
        <f>H136</f>
        <v>1</v>
      </c>
      <c r="B136" s="3" t="s">
        <v>47</v>
      </c>
      <c r="C136" s="3"/>
      <c r="D136" t="str">
        <f>""</f>
        <v/>
      </c>
      <c r="E136" s="8" t="s">
        <v>48</v>
      </c>
      <c r="F136" s="1" t="b">
        <v>1</v>
      </c>
      <c r="G136" s="2" t="b" cm="1">
        <f t="array" ref="G136">_xldudf_XLWINGS_DEV_READ_TIMESERIES(D136:E138)</f>
        <v>1</v>
      </c>
      <c r="H136" t="b">
        <f>G136=F136</f>
        <v>1</v>
      </c>
    </row>
    <row r="137" spans="1:10" x14ac:dyDescent="0.2">
      <c r="D137" s="4">
        <v>36880</v>
      </c>
      <c r="E137">
        <v>1.5</v>
      </c>
    </row>
    <row r="138" spans="1:10" x14ac:dyDescent="0.2">
      <c r="D138" s="4">
        <v>36881</v>
      </c>
      <c r="E138">
        <v>2.5</v>
      </c>
    </row>
    <row r="139" spans="1:10" x14ac:dyDescent="0.2">
      <c r="D139" s="4"/>
    </row>
    <row r="140" spans="1:10" x14ac:dyDescent="0.2">
      <c r="A140" t="b">
        <f>AND(I140:J142)</f>
        <v>1</v>
      </c>
      <c r="B140" s="3" t="s">
        <v>49</v>
      </c>
      <c r="C140" s="3"/>
      <c r="E140" s="10" t="str">
        <f>""</f>
        <v/>
      </c>
      <c r="F140" s="10" t="s">
        <v>48</v>
      </c>
      <c r="G140" s="11" t="str" cm="1">
        <f t="array" ref="G140:H142">_xldudf_XLWINGS_DEV_WRITE_TIMESERIES()</f>
        <v/>
      </c>
      <c r="H140" s="11" t="str">
        <v>ts</v>
      </c>
      <c r="I140" t="b">
        <f>G140=E140</f>
        <v>1</v>
      </c>
      <c r="J140" t="b">
        <f>H140=F140</f>
        <v>1</v>
      </c>
    </row>
    <row r="141" spans="1:10" x14ac:dyDescent="0.2">
      <c r="E141" s="12">
        <v>36880</v>
      </c>
      <c r="F141" s="10">
        <v>1.5</v>
      </c>
      <c r="G141" s="13" vm="3">
        <v>36880</v>
      </c>
      <c r="H141" s="11">
        <v>1.5</v>
      </c>
      <c r="I141" t="b">
        <f t="shared" ref="I141:I142" si="4">G141=E141</f>
        <v>1</v>
      </c>
      <c r="J141" t="b">
        <f t="shared" ref="J141:J142" si="5">H141=F141</f>
        <v>1</v>
      </c>
    </row>
    <row r="142" spans="1:10" x14ac:dyDescent="0.2">
      <c r="E142" s="12">
        <v>36881</v>
      </c>
      <c r="F142" s="10">
        <v>2.5</v>
      </c>
      <c r="G142" s="13" vm="4">
        <v>36881</v>
      </c>
      <c r="H142" s="11">
        <v>2.5</v>
      </c>
      <c r="I142" t="b">
        <f t="shared" si="4"/>
        <v>1</v>
      </c>
      <c r="J142" t="b">
        <f t="shared" si="5"/>
        <v>1</v>
      </c>
    </row>
    <row r="144" spans="1:10" x14ac:dyDescent="0.2">
      <c r="A144" t="b">
        <f>H144</f>
        <v>1</v>
      </c>
      <c r="B144" s="3" t="s">
        <v>54</v>
      </c>
      <c r="C144" s="3"/>
      <c r="D144">
        <v>1</v>
      </c>
      <c r="E144">
        <v>2</v>
      </c>
      <c r="F144" s="1" t="b">
        <v>1</v>
      </c>
      <c r="G144" s="2" t="b" cm="1">
        <f t="array" ref="G144">_xldudf_XLWINGS_DEV_READ_DF_0HEADER_0INDEX(D144:E145)</f>
        <v>1</v>
      </c>
      <c r="H144" t="b">
        <f>G144=F144</f>
        <v>1</v>
      </c>
    </row>
    <row r="145" spans="1:10" x14ac:dyDescent="0.2">
      <c r="D145">
        <v>3</v>
      </c>
      <c r="E145">
        <v>4</v>
      </c>
    </row>
    <row r="147" spans="1:10" x14ac:dyDescent="0.2">
      <c r="A147" t="b">
        <f>AND(I147:J148)</f>
        <v>1</v>
      </c>
      <c r="B147" s="3" t="s">
        <v>68</v>
      </c>
      <c r="C147" s="3"/>
      <c r="E147" s="1">
        <v>1</v>
      </c>
      <c r="F147" s="1">
        <v>2</v>
      </c>
      <c r="G147" s="2" cm="1">
        <f t="array" ref="G147:H148">_xldudf_XLWINGS_DEV_WRITE_DF_0HEADER_0INDEX()</f>
        <v>1</v>
      </c>
      <c r="H147" s="2">
        <v>2</v>
      </c>
      <c r="I147" t="b">
        <f>G147=E147</f>
        <v>1</v>
      </c>
      <c r="J147" t="b">
        <f>H147=F147</f>
        <v>1</v>
      </c>
    </row>
    <row r="148" spans="1:10" x14ac:dyDescent="0.2">
      <c r="E148" s="1">
        <v>3</v>
      </c>
      <c r="F148" s="1">
        <v>4</v>
      </c>
      <c r="G148" s="2">
        <v>3</v>
      </c>
      <c r="H148" s="2">
        <v>4</v>
      </c>
      <c r="I148" t="b">
        <f>G148=E148</f>
        <v>1</v>
      </c>
      <c r="J148" t="b">
        <f>H148=F148</f>
        <v>1</v>
      </c>
    </row>
    <row r="150" spans="1:10" x14ac:dyDescent="0.2">
      <c r="A150" t="b">
        <f>H150</f>
        <v>1</v>
      </c>
      <c r="B150" s="3" t="s">
        <v>78</v>
      </c>
      <c r="D150" s="8" t="s">
        <v>50</v>
      </c>
      <c r="E150" s="8" t="s">
        <v>51</v>
      </c>
      <c r="F150" s="1" t="b">
        <v>1</v>
      </c>
      <c r="G150" s="2" t="b" cm="1">
        <f t="array" ref="G150">_xldudf_XLWINGS_DEV_READ_DF_1HEADER_0INDEX(D150:E152)</f>
        <v>1</v>
      </c>
      <c r="H150" t="b">
        <f>G150=F150</f>
        <v>1</v>
      </c>
    </row>
    <row r="151" spans="1:10" x14ac:dyDescent="0.2">
      <c r="D151" s="8">
        <v>1</v>
      </c>
      <c r="E151" s="8">
        <v>2</v>
      </c>
    </row>
    <row r="152" spans="1:10" x14ac:dyDescent="0.2">
      <c r="D152" s="8">
        <v>3</v>
      </c>
      <c r="E152" s="8">
        <v>4</v>
      </c>
    </row>
    <row r="154" spans="1:10" x14ac:dyDescent="0.2">
      <c r="A154" t="b">
        <f>AND(I154:J156)</f>
        <v>1</v>
      </c>
      <c r="B154" s="3" t="s">
        <v>79</v>
      </c>
      <c r="E154" s="10" t="s">
        <v>50</v>
      </c>
      <c r="F154" s="10" t="s">
        <v>51</v>
      </c>
      <c r="G154" s="11" t="str" cm="1">
        <f t="array" ref="G154:H156">_xldudf_XLWINGS_DEV_WRITE_DF_1HEADER_0INDEX()</f>
        <v>a</v>
      </c>
      <c r="H154" s="11" t="str">
        <v>b</v>
      </c>
      <c r="I154" t="b">
        <f>E154=G154</f>
        <v>1</v>
      </c>
      <c r="J154" t="b">
        <f>F154=H154</f>
        <v>1</v>
      </c>
    </row>
    <row r="155" spans="1:10" x14ac:dyDescent="0.2">
      <c r="E155" s="10">
        <v>1</v>
      </c>
      <c r="F155" s="10">
        <v>2</v>
      </c>
      <c r="G155" s="11">
        <v>1</v>
      </c>
      <c r="H155" s="11">
        <v>2</v>
      </c>
      <c r="I155" t="b">
        <f t="shared" ref="I155:J156" si="6">E155=G155</f>
        <v>1</v>
      </c>
      <c r="J155" t="b">
        <f t="shared" si="6"/>
        <v>1</v>
      </c>
    </row>
    <row r="156" spans="1:10" x14ac:dyDescent="0.2">
      <c r="E156" s="10">
        <v>3</v>
      </c>
      <c r="F156" s="10">
        <v>4</v>
      </c>
      <c r="G156" s="11">
        <v>3</v>
      </c>
      <c r="H156" s="11">
        <v>4</v>
      </c>
      <c r="I156" t="b">
        <f t="shared" si="6"/>
        <v>1</v>
      </c>
      <c r="J156" t="b">
        <f t="shared" si="6"/>
        <v>1</v>
      </c>
    </row>
    <row r="158" spans="1:10" x14ac:dyDescent="0.2">
      <c r="A158" t="b">
        <f>H158</f>
        <v>1</v>
      </c>
      <c r="B158" s="3" t="s">
        <v>80</v>
      </c>
      <c r="C158">
        <v>10</v>
      </c>
      <c r="D158" s="8">
        <v>1</v>
      </c>
      <c r="E158" s="8">
        <v>2</v>
      </c>
      <c r="F158" s="1" t="b">
        <v>1</v>
      </c>
      <c r="G158" s="2" t="b" cm="1">
        <f t="array" ref="G158">_xldudf_XLWINGS_DEV_READ_DF_0HEADER_1INDEX(C158:E159)</f>
        <v>1</v>
      </c>
      <c r="H158" t="b">
        <f>G158=F158</f>
        <v>1</v>
      </c>
    </row>
    <row r="159" spans="1:10" x14ac:dyDescent="0.2">
      <c r="C159">
        <v>20</v>
      </c>
      <c r="D159" s="8">
        <v>3</v>
      </c>
      <c r="E159" s="8">
        <v>4</v>
      </c>
    </row>
    <row r="161" spans="1:16" x14ac:dyDescent="0.2">
      <c r="A161" t="b">
        <f>AND(J161:L162)</f>
        <v>1</v>
      </c>
      <c r="B161" s="3" t="s">
        <v>81</v>
      </c>
      <c r="D161" s="1">
        <v>10</v>
      </c>
      <c r="E161" s="10">
        <v>1</v>
      </c>
      <c r="F161" s="10">
        <v>2</v>
      </c>
      <c r="G161" s="2" cm="1">
        <f t="array" ref="G161:I162">_xldudf_XLWINGS_DEV_WRITE_DF_0HEADER_1INDEX()</f>
        <v>10</v>
      </c>
      <c r="H161" s="11">
        <v>1</v>
      </c>
      <c r="I161" s="11">
        <v>2</v>
      </c>
      <c r="J161" t="b">
        <f>G161=D161</f>
        <v>1</v>
      </c>
      <c r="K161" t="b">
        <f t="shared" ref="K161:L161" si="7">H161=E161</f>
        <v>1</v>
      </c>
      <c r="L161" t="b">
        <f t="shared" si="7"/>
        <v>1</v>
      </c>
    </row>
    <row r="162" spans="1:16" x14ac:dyDescent="0.2">
      <c r="D162" s="1">
        <v>20</v>
      </c>
      <c r="E162" s="10">
        <v>3</v>
      </c>
      <c r="F162" s="10">
        <v>4</v>
      </c>
      <c r="G162" s="2">
        <v>20</v>
      </c>
      <c r="H162" s="11">
        <v>3</v>
      </c>
      <c r="I162" s="11">
        <v>4</v>
      </c>
      <c r="J162" t="b">
        <f>G162=D162</f>
        <v>1</v>
      </c>
      <c r="K162" t="b">
        <f t="shared" ref="K162" si="8">H162=E162</f>
        <v>1</v>
      </c>
      <c r="L162" t="b">
        <f t="shared" ref="L162" si="9">I162=F162</f>
        <v>1</v>
      </c>
    </row>
    <row r="163" spans="1:16" x14ac:dyDescent="0.2">
      <c r="E163" s="8"/>
      <c r="F163" s="8"/>
      <c r="H163" s="8"/>
      <c r="I163" s="8"/>
    </row>
    <row r="164" spans="1:16" x14ac:dyDescent="0.2">
      <c r="A164" t="b">
        <f>H164</f>
        <v>1</v>
      </c>
      <c r="B164" s="3" t="s">
        <v>84</v>
      </c>
      <c r="E164" s="8"/>
      <c r="F164" s="1" t="b">
        <v>1</v>
      </c>
      <c r="G164" s="2" t="b" cm="1">
        <f t="array" ref="G164">_xldudf_XLWINGS_DEV_READ_DF_0HEADER_2INDEX(B166:F168)</f>
        <v>1</v>
      </c>
      <c r="H164" t="b">
        <f>G164=F164</f>
        <v>1</v>
      </c>
      <c r="I164" s="8"/>
    </row>
    <row r="165" spans="1:16" x14ac:dyDescent="0.2">
      <c r="E165" s="8"/>
      <c r="F165" s="8"/>
      <c r="H165" s="8"/>
      <c r="I165" s="8"/>
    </row>
    <row r="166" spans="1:16" x14ac:dyDescent="0.2">
      <c r="B166" s="20" t="s">
        <v>50</v>
      </c>
      <c r="C166" s="20">
        <v>1</v>
      </c>
      <c r="D166" s="8">
        <v>1</v>
      </c>
      <c r="E166" s="8">
        <v>2</v>
      </c>
      <c r="F166" s="8">
        <v>3</v>
      </c>
      <c r="H166" s="8"/>
      <c r="I166" s="8"/>
    </row>
    <row r="167" spans="1:16" x14ac:dyDescent="0.2">
      <c r="B167" s="20" t="s">
        <v>50</v>
      </c>
      <c r="C167" s="20">
        <v>2</v>
      </c>
      <c r="D167" s="8">
        <v>4</v>
      </c>
      <c r="E167" s="8">
        <v>5</v>
      </c>
      <c r="F167" s="8">
        <v>6</v>
      </c>
      <c r="H167" s="8"/>
      <c r="I167" s="8"/>
    </row>
    <row r="168" spans="1:16" x14ac:dyDescent="0.2">
      <c r="B168" s="20" t="s">
        <v>51</v>
      </c>
      <c r="C168" s="20">
        <v>1</v>
      </c>
      <c r="D168" s="8">
        <v>7</v>
      </c>
      <c r="E168" s="8">
        <v>8</v>
      </c>
      <c r="F168" s="8">
        <v>9</v>
      </c>
      <c r="H168" s="8"/>
      <c r="I168" s="8"/>
    </row>
    <row r="169" spans="1:16" x14ac:dyDescent="0.2">
      <c r="B169" s="20"/>
      <c r="C169" s="20"/>
      <c r="D169" s="8"/>
      <c r="E169" s="8"/>
      <c r="F169" s="8"/>
      <c r="H169" s="8"/>
      <c r="I169" s="8"/>
    </row>
    <row r="170" spans="1:16" x14ac:dyDescent="0.2">
      <c r="A170" t="b">
        <f>AND(L171:P173)</f>
        <v>1</v>
      </c>
      <c r="B170" s="3" t="s">
        <v>85</v>
      </c>
      <c r="C170" s="20"/>
      <c r="D170" s="8"/>
      <c r="E170" s="8"/>
      <c r="F170" s="8"/>
      <c r="H170" s="8"/>
      <c r="I170" s="8"/>
    </row>
    <row r="171" spans="1:16" x14ac:dyDescent="0.2">
      <c r="B171" s="21" t="s">
        <v>50</v>
      </c>
      <c r="C171" s="21">
        <v>1</v>
      </c>
      <c r="D171" s="10">
        <v>1</v>
      </c>
      <c r="E171" s="10">
        <v>2</v>
      </c>
      <c r="F171" s="10">
        <v>3</v>
      </c>
      <c r="G171" s="2" t="str" cm="1">
        <f t="array" ref="G171:K173">_xldudf_XLWINGS_DEV_WRITE_DF_0HEADER_2INDEX()</f>
        <v>a</v>
      </c>
      <c r="H171" s="11">
        <v>1</v>
      </c>
      <c r="I171" s="11">
        <v>1</v>
      </c>
      <c r="J171" s="2">
        <v>2</v>
      </c>
      <c r="K171" s="2">
        <v>3</v>
      </c>
      <c r="L171" t="b">
        <f>B171=G171</f>
        <v>1</v>
      </c>
      <c r="M171" t="b">
        <f t="shared" ref="M171:P171" si="10">C171=H171</f>
        <v>1</v>
      </c>
      <c r="N171" t="b">
        <f t="shared" si="10"/>
        <v>1</v>
      </c>
      <c r="O171" t="b">
        <f t="shared" si="10"/>
        <v>1</v>
      </c>
      <c r="P171" t="b">
        <f t="shared" si="10"/>
        <v>1</v>
      </c>
    </row>
    <row r="172" spans="1:16" x14ac:dyDescent="0.2">
      <c r="B172" s="21" t="s">
        <v>50</v>
      </c>
      <c r="C172" s="21">
        <v>2</v>
      </c>
      <c r="D172" s="10">
        <v>4</v>
      </c>
      <c r="E172" s="10">
        <v>5</v>
      </c>
      <c r="F172" s="10">
        <v>6</v>
      </c>
      <c r="G172" s="2" t="str">
        <v>a</v>
      </c>
      <c r="H172" s="11">
        <v>2</v>
      </c>
      <c r="I172" s="11">
        <v>4</v>
      </c>
      <c r="J172" s="2">
        <v>5</v>
      </c>
      <c r="K172" s="2">
        <v>6</v>
      </c>
      <c r="L172" t="b">
        <f t="shared" ref="L172:L173" si="11">B172=G172</f>
        <v>1</v>
      </c>
      <c r="M172" t="b">
        <f t="shared" ref="M172:M173" si="12">C172=H172</f>
        <v>1</v>
      </c>
      <c r="N172" t="b">
        <f t="shared" ref="N172:N173" si="13">D172=I172</f>
        <v>1</v>
      </c>
      <c r="O172" t="b">
        <f t="shared" ref="O172:O173" si="14">E172=J172</f>
        <v>1</v>
      </c>
      <c r="P172" t="b">
        <f t="shared" ref="P172:P173" si="15">F172=K172</f>
        <v>1</v>
      </c>
    </row>
    <row r="173" spans="1:16" x14ac:dyDescent="0.2">
      <c r="B173" s="21" t="s">
        <v>51</v>
      </c>
      <c r="C173" s="21">
        <v>1</v>
      </c>
      <c r="D173" s="10">
        <v>7</v>
      </c>
      <c r="E173" s="10">
        <v>8</v>
      </c>
      <c r="F173" s="10">
        <v>9</v>
      </c>
      <c r="G173" s="2" t="str">
        <v>b</v>
      </c>
      <c r="H173" s="11">
        <v>1</v>
      </c>
      <c r="I173" s="11">
        <v>7</v>
      </c>
      <c r="J173" s="2">
        <v>8</v>
      </c>
      <c r="K173" s="2">
        <v>9</v>
      </c>
      <c r="L173" t="b">
        <f t="shared" si="11"/>
        <v>1</v>
      </c>
      <c r="M173" t="b">
        <f t="shared" si="12"/>
        <v>1</v>
      </c>
      <c r="N173" t="b">
        <f t="shared" si="13"/>
        <v>1</v>
      </c>
      <c r="O173" t="b">
        <f t="shared" si="14"/>
        <v>1</v>
      </c>
      <c r="P173" t="b">
        <f t="shared" si="15"/>
        <v>1</v>
      </c>
    </row>
    <row r="174" spans="1:16" x14ac:dyDescent="0.2">
      <c r="B174" s="20"/>
      <c r="C174" s="20"/>
      <c r="D174" s="8"/>
      <c r="E174" s="8"/>
      <c r="F174" s="8"/>
      <c r="H174" s="8"/>
      <c r="I174" s="8"/>
    </row>
    <row r="175" spans="1:16" x14ac:dyDescent="0.2">
      <c r="A175" t="b">
        <f>H175</f>
        <v>1</v>
      </c>
      <c r="B175" s="3" t="s">
        <v>55</v>
      </c>
      <c r="F175" s="1" t="b">
        <v>1</v>
      </c>
      <c r="G175" s="2" t="b" cm="1">
        <f t="array" ref="G175">_xldudf_XLWINGS_DEV_READ_DF_1HEADER_1NAMEDINDEX(B176:E178)</f>
        <v>1</v>
      </c>
      <c r="H175" t="b">
        <f>G175=F175</f>
        <v>1</v>
      </c>
    </row>
    <row r="176" spans="1:16" x14ac:dyDescent="0.2">
      <c r="B176" s="8" t="s">
        <v>57</v>
      </c>
      <c r="C176" s="8" t="s">
        <v>52</v>
      </c>
      <c r="D176" s="8" t="s">
        <v>56</v>
      </c>
      <c r="E176" s="8" t="s">
        <v>52</v>
      </c>
    </row>
    <row r="177" spans="1:14" x14ac:dyDescent="0.2">
      <c r="B177" s="8">
        <v>1</v>
      </c>
      <c r="C177" s="8">
        <v>1</v>
      </c>
      <c r="D177" s="8">
        <v>2</v>
      </c>
      <c r="E177" s="8">
        <v>3</v>
      </c>
    </row>
    <row r="178" spans="1:14" x14ac:dyDescent="0.2">
      <c r="B178" s="8">
        <v>2</v>
      </c>
      <c r="C178" s="8">
        <v>4</v>
      </c>
      <c r="D178" s="8">
        <v>5</v>
      </c>
      <c r="E178" s="8">
        <v>6</v>
      </c>
    </row>
    <row r="179" spans="1:14" x14ac:dyDescent="0.2">
      <c r="B179" s="8"/>
      <c r="C179" s="8"/>
      <c r="D179" s="8"/>
      <c r="E179" s="8"/>
    </row>
    <row r="180" spans="1:14" x14ac:dyDescent="0.2">
      <c r="A180" t="b">
        <f>AND(K180:N182)</f>
        <v>1</v>
      </c>
      <c r="B180" s="3" t="s">
        <v>69</v>
      </c>
      <c r="C180" s="10" t="s">
        <v>57</v>
      </c>
      <c r="D180" s="10" t="s">
        <v>52</v>
      </c>
      <c r="E180" s="10" t="s">
        <v>56</v>
      </c>
      <c r="F180" s="10" t="s">
        <v>52</v>
      </c>
      <c r="G180" s="11" t="str" cm="1">
        <f t="array" ref="G180:J182">_xldudf_XLWINGS_DEV_WRITE_DF_1HEADER_1NAMEDINDEX()</f>
        <v>ix1</v>
      </c>
      <c r="H180" s="11" t="str">
        <v>c</v>
      </c>
      <c r="I180" s="11" t="str">
        <v>d</v>
      </c>
      <c r="J180" s="11" t="str">
        <v>c</v>
      </c>
      <c r="K180" t="b">
        <f>G180=C180</f>
        <v>1</v>
      </c>
      <c r="L180" t="b">
        <f t="shared" ref="L180:N180" si="16">H180=D180</f>
        <v>1</v>
      </c>
      <c r="M180" t="b">
        <f t="shared" si="16"/>
        <v>1</v>
      </c>
      <c r="N180" t="b">
        <f t="shared" si="16"/>
        <v>1</v>
      </c>
    </row>
    <row r="181" spans="1:14" x14ac:dyDescent="0.2">
      <c r="B181" s="8"/>
      <c r="C181" s="10">
        <v>1</v>
      </c>
      <c r="D181" s="10">
        <v>1</v>
      </c>
      <c r="E181" s="10">
        <v>2</v>
      </c>
      <c r="F181" s="10">
        <v>3</v>
      </c>
      <c r="G181" s="11">
        <v>1</v>
      </c>
      <c r="H181" s="11">
        <v>1</v>
      </c>
      <c r="I181" s="11">
        <v>2</v>
      </c>
      <c r="J181" s="11">
        <v>3</v>
      </c>
      <c r="K181" t="b">
        <f t="shared" ref="K181:K182" si="17">G181=C181</f>
        <v>1</v>
      </c>
      <c r="L181" t="b">
        <f t="shared" ref="L181:L182" si="18">H181=D181</f>
        <v>1</v>
      </c>
      <c r="M181" t="b">
        <f t="shared" ref="M181:M182" si="19">I181=E181</f>
        <v>1</v>
      </c>
      <c r="N181" t="b">
        <f t="shared" ref="N181:N182" si="20">J181=F181</f>
        <v>1</v>
      </c>
    </row>
    <row r="182" spans="1:14" x14ac:dyDescent="0.2">
      <c r="B182" s="8"/>
      <c r="C182" s="10">
        <v>2</v>
      </c>
      <c r="D182" s="10">
        <v>4</v>
      </c>
      <c r="E182" s="10">
        <v>5</v>
      </c>
      <c r="F182" s="10">
        <v>6</v>
      </c>
      <c r="G182" s="11">
        <v>2</v>
      </c>
      <c r="H182" s="11">
        <v>4</v>
      </c>
      <c r="I182" s="11">
        <v>5</v>
      </c>
      <c r="J182" s="11">
        <v>6</v>
      </c>
      <c r="K182" t="b">
        <f t="shared" si="17"/>
        <v>1</v>
      </c>
      <c r="L182" t="b">
        <f t="shared" si="18"/>
        <v>1</v>
      </c>
      <c r="M182" t="b">
        <f t="shared" si="19"/>
        <v>1</v>
      </c>
      <c r="N182" t="b">
        <f t="shared" si="20"/>
        <v>1</v>
      </c>
    </row>
    <row r="183" spans="1:14" x14ac:dyDescent="0.2">
      <c r="B183" s="8"/>
    </row>
    <row r="184" spans="1:14" x14ac:dyDescent="0.2">
      <c r="A184" t="b">
        <f>H184</f>
        <v>1</v>
      </c>
      <c r="B184" s="3" t="s">
        <v>58</v>
      </c>
      <c r="F184" s="1" t="b">
        <v>1</v>
      </c>
      <c r="G184" s="2" t="b" cm="1">
        <f t="array" ref="G184">_xldudf_XLWINGS_DEV_READ_DF_1HEADER_1UNNAMEDINDEX(B185:E187)</f>
        <v>1</v>
      </c>
      <c r="H184" t="b">
        <f>G184=F184</f>
        <v>1</v>
      </c>
    </row>
    <row r="185" spans="1:14" x14ac:dyDescent="0.2">
      <c r="B185" s="8" t="str">
        <f>""</f>
        <v/>
      </c>
      <c r="C185" s="8" t="s">
        <v>52</v>
      </c>
      <c r="D185" s="8" t="s">
        <v>56</v>
      </c>
      <c r="E185" s="8" t="s">
        <v>52</v>
      </c>
    </row>
    <row r="186" spans="1:14" x14ac:dyDescent="0.2">
      <c r="B186" s="8">
        <v>1</v>
      </c>
      <c r="C186" s="8">
        <v>1</v>
      </c>
      <c r="D186" s="8">
        <v>2</v>
      </c>
      <c r="E186" s="8">
        <v>3</v>
      </c>
    </row>
    <row r="187" spans="1:14" x14ac:dyDescent="0.2">
      <c r="B187" s="8">
        <v>2</v>
      </c>
      <c r="C187" s="8">
        <v>4</v>
      </c>
      <c r="D187" s="8">
        <v>5</v>
      </c>
      <c r="E187" s="8">
        <v>6</v>
      </c>
    </row>
    <row r="188" spans="1:14" x14ac:dyDescent="0.2">
      <c r="B188" s="8"/>
      <c r="C188" s="8"/>
      <c r="D188" s="8"/>
      <c r="E188" s="8"/>
    </row>
    <row r="189" spans="1:14" x14ac:dyDescent="0.2">
      <c r="A189" t="b">
        <f>AND(K189:N191)</f>
        <v>1</v>
      </c>
      <c r="B189" s="3" t="s">
        <v>70</v>
      </c>
      <c r="C189" s="10" t="str">
        <f>""</f>
        <v/>
      </c>
      <c r="D189" s="10" t="s">
        <v>52</v>
      </c>
      <c r="E189" s="10" t="s">
        <v>56</v>
      </c>
      <c r="F189" s="10" t="s">
        <v>52</v>
      </c>
      <c r="G189" s="11" t="str" cm="1">
        <f t="array" ref="G189:J191">_xldudf_XLWINGS_DEV_WRITE_DF_1HEADER_1UNNAMEDINDEX()</f>
        <v/>
      </c>
      <c r="H189" s="11" t="str">
        <v>c</v>
      </c>
      <c r="I189" s="11" t="str">
        <v>d</v>
      </c>
      <c r="J189" s="11" t="str">
        <v>c</v>
      </c>
      <c r="K189" t="b">
        <f>G189=C189</f>
        <v>1</v>
      </c>
      <c r="L189" t="b">
        <f t="shared" ref="L189:L191" si="21">H189=D189</f>
        <v>1</v>
      </c>
      <c r="M189" t="b">
        <f t="shared" ref="M189:M191" si="22">I189=E189</f>
        <v>1</v>
      </c>
      <c r="N189" t="b">
        <f t="shared" ref="N189:N191" si="23">J189=F189</f>
        <v>1</v>
      </c>
    </row>
    <row r="190" spans="1:14" x14ac:dyDescent="0.2">
      <c r="B190" s="8"/>
      <c r="C190" s="10">
        <v>1</v>
      </c>
      <c r="D190" s="10">
        <v>1</v>
      </c>
      <c r="E190" s="10">
        <v>2</v>
      </c>
      <c r="F190" s="10">
        <v>3</v>
      </c>
      <c r="G190" s="11">
        <v>1</v>
      </c>
      <c r="H190" s="11">
        <v>1</v>
      </c>
      <c r="I190" s="11">
        <v>2</v>
      </c>
      <c r="J190" s="11">
        <v>3</v>
      </c>
      <c r="K190" t="b">
        <f t="shared" ref="K190:K191" si="24">G190=C190</f>
        <v>1</v>
      </c>
      <c r="L190" t="b">
        <f t="shared" si="21"/>
        <v>1</v>
      </c>
      <c r="M190" t="b">
        <f t="shared" si="22"/>
        <v>1</v>
      </c>
      <c r="N190" t="b">
        <f t="shared" si="23"/>
        <v>1</v>
      </c>
    </row>
    <row r="191" spans="1:14" x14ac:dyDescent="0.2">
      <c r="B191" s="8"/>
      <c r="C191" s="10">
        <v>2</v>
      </c>
      <c r="D191" s="10">
        <v>4</v>
      </c>
      <c r="E191" s="10">
        <v>5</v>
      </c>
      <c r="F191" s="10">
        <v>6</v>
      </c>
      <c r="G191" s="11">
        <v>2</v>
      </c>
      <c r="H191" s="11">
        <v>4</v>
      </c>
      <c r="I191" s="11">
        <v>5</v>
      </c>
      <c r="J191" s="11">
        <v>6</v>
      </c>
      <c r="K191" t="b">
        <f t="shared" si="24"/>
        <v>1</v>
      </c>
      <c r="L191" t="b">
        <f t="shared" si="21"/>
        <v>1</v>
      </c>
      <c r="M191" t="b">
        <f t="shared" si="22"/>
        <v>1</v>
      </c>
      <c r="N191" t="b">
        <f t="shared" si="23"/>
        <v>1</v>
      </c>
    </row>
    <row r="192" spans="1:14" x14ac:dyDescent="0.2">
      <c r="B192" s="8"/>
      <c r="C192" s="8"/>
      <c r="D192" s="8"/>
      <c r="E192" s="8"/>
      <c r="F192" s="8"/>
      <c r="G192" s="8"/>
      <c r="H192" s="8"/>
      <c r="I192" s="8"/>
      <c r="J192" s="8"/>
    </row>
    <row r="193" spans="1:12" x14ac:dyDescent="0.2">
      <c r="A193" t="b">
        <f>H193</f>
        <v>1</v>
      </c>
      <c r="B193" s="3" t="s">
        <v>82</v>
      </c>
      <c r="C193" s="8"/>
      <c r="D193" s="8"/>
      <c r="E193" s="8"/>
      <c r="F193" s="1" t="b">
        <v>1</v>
      </c>
      <c r="G193" s="2" t="b" cm="1">
        <f t="array" ref="G193">_xldudf_XLWINGS_DEV_READ_DF_2HEADER_0INDEX(C194:E197)</f>
        <v>1</v>
      </c>
      <c r="H193" s="8" t="b">
        <f>F193=G193</f>
        <v>1</v>
      </c>
      <c r="I193" s="8"/>
      <c r="J193" s="8"/>
    </row>
    <row r="194" spans="1:12" x14ac:dyDescent="0.2">
      <c r="B194" s="3"/>
      <c r="C194" s="8" t="s">
        <v>50</v>
      </c>
      <c r="D194" s="8" t="s">
        <v>50</v>
      </c>
      <c r="E194" s="8" t="s">
        <v>51</v>
      </c>
      <c r="H194" s="8"/>
      <c r="I194" s="8"/>
      <c r="J194" s="8"/>
    </row>
    <row r="195" spans="1:12" x14ac:dyDescent="0.2">
      <c r="B195" s="3"/>
      <c r="C195" s="8" t="s">
        <v>52</v>
      </c>
      <c r="D195" s="8" t="s">
        <v>56</v>
      </c>
      <c r="E195" s="8" t="s">
        <v>52</v>
      </c>
      <c r="H195" s="8"/>
      <c r="I195" s="8"/>
      <c r="J195" s="8"/>
    </row>
    <row r="196" spans="1:12" x14ac:dyDescent="0.2">
      <c r="B196" s="3"/>
      <c r="C196" s="8">
        <v>1</v>
      </c>
      <c r="D196" s="8">
        <v>2</v>
      </c>
      <c r="E196" s="8">
        <v>3</v>
      </c>
      <c r="H196" s="8"/>
      <c r="I196" s="8"/>
      <c r="J196" s="8"/>
    </row>
    <row r="197" spans="1:12" x14ac:dyDescent="0.2">
      <c r="B197" s="3"/>
      <c r="C197" s="8">
        <v>4</v>
      </c>
      <c r="D197" s="8">
        <v>5</v>
      </c>
      <c r="E197" s="8">
        <v>6</v>
      </c>
      <c r="H197" s="8"/>
      <c r="I197" s="8"/>
      <c r="J197" s="8"/>
    </row>
    <row r="198" spans="1:12" x14ac:dyDescent="0.2">
      <c r="B198" s="8"/>
      <c r="C198" s="8"/>
      <c r="D198" s="8"/>
      <c r="E198" s="8"/>
      <c r="F198" s="8"/>
      <c r="G198" s="8"/>
      <c r="H198" s="8"/>
      <c r="I198" s="8"/>
      <c r="J198" s="8"/>
    </row>
    <row r="199" spans="1:12" x14ac:dyDescent="0.2">
      <c r="A199" t="b">
        <f>AND(J199:L202)</f>
        <v>1</v>
      </c>
      <c r="B199" s="3" t="s">
        <v>83</v>
      </c>
      <c r="C199" s="8"/>
      <c r="D199" s="10" t="s">
        <v>50</v>
      </c>
      <c r="E199" s="10" t="s">
        <v>50</v>
      </c>
      <c r="F199" s="10" t="s">
        <v>51</v>
      </c>
      <c r="G199" s="11" t="str" cm="1">
        <f t="array" ref="G199:I202">_xldudf_XLWINGS_DEV_WRITE_DF_2HEADER_0INDEX()</f>
        <v>a</v>
      </c>
      <c r="H199" s="11" t="str">
        <v>a</v>
      </c>
      <c r="I199" s="11" t="str">
        <v>b</v>
      </c>
      <c r="J199" s="8" t="b">
        <f>D199=G199</f>
        <v>1</v>
      </c>
      <c r="K199" s="8" t="b">
        <f t="shared" ref="K199:L202" si="25">E199=H199</f>
        <v>1</v>
      </c>
      <c r="L199" s="8" t="b">
        <f t="shared" si="25"/>
        <v>1</v>
      </c>
    </row>
    <row r="200" spans="1:12" x14ac:dyDescent="0.2">
      <c r="B200" s="8"/>
      <c r="C200" s="8"/>
      <c r="D200" s="10" t="s">
        <v>52</v>
      </c>
      <c r="E200" s="10" t="s">
        <v>56</v>
      </c>
      <c r="F200" s="10" t="s">
        <v>52</v>
      </c>
      <c r="G200" s="11" t="str">
        <v>c</v>
      </c>
      <c r="H200" s="11" t="str">
        <v>d</v>
      </c>
      <c r="I200" s="11" t="str">
        <v>c</v>
      </c>
      <c r="J200" s="8" t="b">
        <f t="shared" ref="J200:J202" si="26">D200=G200</f>
        <v>1</v>
      </c>
      <c r="K200" s="8" t="b">
        <f t="shared" si="25"/>
        <v>1</v>
      </c>
      <c r="L200" s="8" t="b">
        <f t="shared" si="25"/>
        <v>1</v>
      </c>
    </row>
    <row r="201" spans="1:12" x14ac:dyDescent="0.2">
      <c r="B201" s="8"/>
      <c r="C201" s="8"/>
      <c r="D201" s="10">
        <v>1</v>
      </c>
      <c r="E201" s="10">
        <v>2</v>
      </c>
      <c r="F201" s="10">
        <v>3</v>
      </c>
      <c r="G201" s="11">
        <v>1</v>
      </c>
      <c r="H201" s="11">
        <v>2</v>
      </c>
      <c r="I201" s="11">
        <v>3</v>
      </c>
      <c r="J201" s="8" t="b">
        <f t="shared" si="26"/>
        <v>1</v>
      </c>
      <c r="K201" s="8" t="b">
        <f t="shared" si="25"/>
        <v>1</v>
      </c>
      <c r="L201" s="8" t="b">
        <f t="shared" si="25"/>
        <v>1</v>
      </c>
    </row>
    <row r="202" spans="1:12" x14ac:dyDescent="0.2">
      <c r="B202" s="8"/>
      <c r="C202" s="8"/>
      <c r="D202" s="10">
        <v>4</v>
      </c>
      <c r="E202" s="10">
        <v>5</v>
      </c>
      <c r="F202" s="10">
        <v>6</v>
      </c>
      <c r="G202" s="11">
        <v>4</v>
      </c>
      <c r="H202" s="11">
        <v>5</v>
      </c>
      <c r="I202" s="11">
        <v>6</v>
      </c>
      <c r="J202" s="8" t="b">
        <f t="shared" si="26"/>
        <v>1</v>
      </c>
      <c r="K202" s="8" t="b">
        <f t="shared" si="25"/>
        <v>1</v>
      </c>
      <c r="L202" s="8" t="b">
        <f t="shared" si="25"/>
        <v>1</v>
      </c>
    </row>
    <row r="204" spans="1:12" x14ac:dyDescent="0.2">
      <c r="A204" t="b">
        <f>H204</f>
        <v>1</v>
      </c>
      <c r="B204" s="3" t="s">
        <v>59</v>
      </c>
      <c r="F204" s="1" t="b">
        <v>1</v>
      </c>
      <c r="G204" s="2" t="b" cm="1">
        <f t="array" ref="G204">_xldudf_XLWINGS_DEV_READ_DF_2HEADER_1NAMEDINDEX(B205:E208)</f>
        <v>1</v>
      </c>
      <c r="H204" t="b">
        <f>G204=F204</f>
        <v>1</v>
      </c>
    </row>
    <row r="205" spans="1:12" x14ac:dyDescent="0.2">
      <c r="B205" t="str">
        <f>""</f>
        <v/>
      </c>
      <c r="C205" s="8" t="s">
        <v>50</v>
      </c>
      <c r="D205" s="8" t="s">
        <v>50</v>
      </c>
      <c r="E205" s="8" t="s">
        <v>51</v>
      </c>
    </row>
    <row r="206" spans="1:12" x14ac:dyDescent="0.2">
      <c r="B206" s="8" t="s">
        <v>57</v>
      </c>
      <c r="C206" s="8" t="s">
        <v>52</v>
      </c>
      <c r="D206" s="8" t="s">
        <v>56</v>
      </c>
      <c r="E206" s="8" t="s">
        <v>52</v>
      </c>
    </row>
    <row r="207" spans="1:12" x14ac:dyDescent="0.2">
      <c r="B207" s="8">
        <v>1</v>
      </c>
      <c r="C207" s="8">
        <v>1</v>
      </c>
      <c r="D207" s="8">
        <v>2</v>
      </c>
      <c r="E207" s="8">
        <v>3</v>
      </c>
    </row>
    <row r="208" spans="1:12" x14ac:dyDescent="0.2">
      <c r="B208" s="8">
        <v>2</v>
      </c>
      <c r="C208" s="8">
        <v>4</v>
      </c>
      <c r="D208" s="8">
        <v>5</v>
      </c>
      <c r="E208" s="8">
        <v>6</v>
      </c>
    </row>
    <row r="209" spans="1:14" x14ac:dyDescent="0.2">
      <c r="B209" s="8"/>
      <c r="C209" s="8"/>
      <c r="D209" s="8"/>
      <c r="E209" s="8"/>
    </row>
    <row r="210" spans="1:14" x14ac:dyDescent="0.2">
      <c r="A210" t="b">
        <f>AND(K210:N213)</f>
        <v>1</v>
      </c>
      <c r="B210" s="3" t="s">
        <v>67</v>
      </c>
      <c r="C210" s="1" t="str">
        <f>""</f>
        <v/>
      </c>
      <c r="D210" s="10" t="s">
        <v>50</v>
      </c>
      <c r="E210" s="10" t="s">
        <v>50</v>
      </c>
      <c r="F210" s="10" t="s">
        <v>51</v>
      </c>
      <c r="G210" s="11" t="str" cm="1">
        <f t="array" ref="G210:J213">_xldudf_XLWINGS_DEV_WRITE_DF_2HEADER_1NAMEDINDEX()</f>
        <v/>
      </c>
      <c r="H210" s="11" t="str">
        <v>a</v>
      </c>
      <c r="I210" s="11" t="str">
        <v>a</v>
      </c>
      <c r="J210" s="11" t="str">
        <v>b</v>
      </c>
      <c r="K210" t="b">
        <f>G210=C210</f>
        <v>1</v>
      </c>
      <c r="L210" t="b">
        <f t="shared" ref="L210:N210" si="27">H210=D210</f>
        <v>1</v>
      </c>
      <c r="M210" t="b">
        <f t="shared" si="27"/>
        <v>1</v>
      </c>
      <c r="N210" t="b">
        <f t="shared" si="27"/>
        <v>1</v>
      </c>
    </row>
    <row r="211" spans="1:14" x14ac:dyDescent="0.2">
      <c r="C211" s="10" t="s">
        <v>57</v>
      </c>
      <c r="D211" s="10" t="s">
        <v>52</v>
      </c>
      <c r="E211" s="10" t="s">
        <v>56</v>
      </c>
      <c r="F211" s="10" t="s">
        <v>52</v>
      </c>
      <c r="G211" s="11" t="str">
        <v>ix1</v>
      </c>
      <c r="H211" s="11" t="str">
        <v>c</v>
      </c>
      <c r="I211" s="11" t="str">
        <v>d</v>
      </c>
      <c r="J211" s="11" t="str">
        <v>c</v>
      </c>
      <c r="K211" t="b">
        <f t="shared" ref="K211:K213" si="28">G211=C211</f>
        <v>1</v>
      </c>
      <c r="L211" t="b">
        <f t="shared" ref="L211:L213" si="29">H211=D211</f>
        <v>1</v>
      </c>
      <c r="M211" t="b">
        <f t="shared" ref="M211:M213" si="30">I211=E211</f>
        <v>1</v>
      </c>
      <c r="N211" t="b">
        <f t="shared" ref="N211:N213" si="31">J211=F211</f>
        <v>1</v>
      </c>
    </row>
    <row r="212" spans="1:14" x14ac:dyDescent="0.2">
      <c r="C212" s="10">
        <v>1</v>
      </c>
      <c r="D212" s="10">
        <v>1</v>
      </c>
      <c r="E212" s="10">
        <v>2</v>
      </c>
      <c r="F212" s="10">
        <v>3</v>
      </c>
      <c r="G212" s="11">
        <v>1</v>
      </c>
      <c r="H212" s="11">
        <v>1</v>
      </c>
      <c r="I212" s="11">
        <v>2</v>
      </c>
      <c r="J212" s="11">
        <v>3</v>
      </c>
      <c r="K212" t="b">
        <f t="shared" si="28"/>
        <v>1</v>
      </c>
      <c r="L212" t="b">
        <f t="shared" si="29"/>
        <v>1</v>
      </c>
      <c r="M212" t="b">
        <f t="shared" si="30"/>
        <v>1</v>
      </c>
      <c r="N212" t="b">
        <f t="shared" si="31"/>
        <v>1</v>
      </c>
    </row>
    <row r="213" spans="1:14" x14ac:dyDescent="0.2">
      <c r="C213" s="10">
        <v>2</v>
      </c>
      <c r="D213" s="10">
        <v>4</v>
      </c>
      <c r="E213" s="10">
        <v>5</v>
      </c>
      <c r="F213" s="10">
        <v>6</v>
      </c>
      <c r="G213" s="11">
        <v>2</v>
      </c>
      <c r="H213" s="11">
        <v>4</v>
      </c>
      <c r="I213" s="11">
        <v>5</v>
      </c>
      <c r="J213" s="11">
        <v>6</v>
      </c>
      <c r="K213" t="b">
        <f t="shared" si="28"/>
        <v>1</v>
      </c>
      <c r="L213" t="b">
        <f t="shared" si="29"/>
        <v>1</v>
      </c>
      <c r="M213" t="b">
        <f t="shared" si="30"/>
        <v>1</v>
      </c>
      <c r="N213" t="b">
        <f t="shared" si="31"/>
        <v>1</v>
      </c>
    </row>
    <row r="215" spans="1:14" x14ac:dyDescent="0.2">
      <c r="A215" t="b">
        <f>H215</f>
        <v>1</v>
      </c>
      <c r="B215" s="3" t="s">
        <v>60</v>
      </c>
      <c r="F215" s="1" t="b">
        <v>1</v>
      </c>
      <c r="G215" s="2" t="b" cm="1">
        <f t="array" ref="G215">_xldudf_XLWINGS_DEV_READ_DF_2HEADER_1UNNAMEDINDEX(B216:E219)</f>
        <v>1</v>
      </c>
      <c r="H215" t="b">
        <f>G215=F215</f>
        <v>1</v>
      </c>
    </row>
    <row r="216" spans="1:14" x14ac:dyDescent="0.2">
      <c r="B216" t="str">
        <f>""</f>
        <v/>
      </c>
      <c r="C216" s="8" t="s">
        <v>50</v>
      </c>
      <c r="D216" s="8" t="s">
        <v>50</v>
      </c>
      <c r="E216" s="8" t="s">
        <v>51</v>
      </c>
    </row>
    <row r="217" spans="1:14" x14ac:dyDescent="0.2">
      <c r="B217" s="8" t="str">
        <f>""</f>
        <v/>
      </c>
      <c r="C217" s="8" t="s">
        <v>52</v>
      </c>
      <c r="D217" s="8" t="s">
        <v>56</v>
      </c>
      <c r="E217" s="8" t="s">
        <v>52</v>
      </c>
    </row>
    <row r="218" spans="1:14" x14ac:dyDescent="0.2">
      <c r="B218" s="8">
        <v>1</v>
      </c>
      <c r="C218" s="8">
        <v>1</v>
      </c>
      <c r="D218" s="8">
        <v>2</v>
      </c>
      <c r="E218" s="8">
        <v>3</v>
      </c>
    </row>
    <row r="219" spans="1:14" x14ac:dyDescent="0.2">
      <c r="B219" s="8">
        <v>2</v>
      </c>
      <c r="C219" s="8">
        <v>4</v>
      </c>
      <c r="D219" s="8">
        <v>5</v>
      </c>
      <c r="E219" s="8">
        <v>6</v>
      </c>
    </row>
    <row r="220" spans="1:14" x14ac:dyDescent="0.2">
      <c r="B220" s="8"/>
      <c r="C220" s="8"/>
      <c r="D220" s="8"/>
      <c r="E220" s="8"/>
    </row>
    <row r="221" spans="1:14" x14ac:dyDescent="0.2">
      <c r="A221" t="b">
        <f>AND(K221:N224)</f>
        <v>1</v>
      </c>
      <c r="B221" s="3" t="s">
        <v>71</v>
      </c>
      <c r="C221" s="1" t="str">
        <f>""</f>
        <v/>
      </c>
      <c r="D221" s="10" t="s">
        <v>50</v>
      </c>
      <c r="E221" s="10" t="s">
        <v>50</v>
      </c>
      <c r="F221" s="10" t="s">
        <v>51</v>
      </c>
      <c r="G221" s="11" t="str" cm="1">
        <f t="array" ref="G221:J224">_xldudf_XLWINGS_DEV_WRITE_DF_2HEADER_1UNNAMEDINDEX()</f>
        <v/>
      </c>
      <c r="H221" s="11" t="str">
        <v>a</v>
      </c>
      <c r="I221" s="11" t="str">
        <v>a</v>
      </c>
      <c r="J221" s="11" t="str">
        <v>b</v>
      </c>
      <c r="K221" t="b">
        <f>G221=C221</f>
        <v>1</v>
      </c>
      <c r="L221" t="b">
        <f t="shared" ref="L221:L224" si="32">H221=D221</f>
        <v>1</v>
      </c>
      <c r="M221" t="b">
        <f t="shared" ref="M221:M224" si="33">I221=E221</f>
        <v>1</v>
      </c>
      <c r="N221" t="b">
        <f t="shared" ref="N221:N224" si="34">J221=F221</f>
        <v>1</v>
      </c>
    </row>
    <row r="222" spans="1:14" x14ac:dyDescent="0.2">
      <c r="B222" s="8"/>
      <c r="C222" s="10" t="str">
        <f>""</f>
        <v/>
      </c>
      <c r="D222" s="10" t="s">
        <v>52</v>
      </c>
      <c r="E222" s="10" t="s">
        <v>56</v>
      </c>
      <c r="F222" s="10" t="s">
        <v>52</v>
      </c>
      <c r="G222" s="11" t="str">
        <v/>
      </c>
      <c r="H222" s="11" t="str">
        <v>c</v>
      </c>
      <c r="I222" s="11" t="str">
        <v>d</v>
      </c>
      <c r="J222" s="11" t="str">
        <v>c</v>
      </c>
      <c r="K222" t="b">
        <f t="shared" ref="K222:K224" si="35">G222=C222</f>
        <v>1</v>
      </c>
      <c r="L222" t="b">
        <f t="shared" si="32"/>
        <v>1</v>
      </c>
      <c r="M222" t="b">
        <f t="shared" si="33"/>
        <v>1</v>
      </c>
      <c r="N222" t="b">
        <f t="shared" si="34"/>
        <v>1</v>
      </c>
    </row>
    <row r="223" spans="1:14" x14ac:dyDescent="0.2">
      <c r="B223" s="8"/>
      <c r="C223" s="10">
        <v>1</v>
      </c>
      <c r="D223" s="10">
        <v>1</v>
      </c>
      <c r="E223" s="10">
        <v>2</v>
      </c>
      <c r="F223" s="10">
        <v>3</v>
      </c>
      <c r="G223" s="11">
        <v>1</v>
      </c>
      <c r="H223" s="11">
        <v>1</v>
      </c>
      <c r="I223" s="11">
        <v>2</v>
      </c>
      <c r="J223" s="11">
        <v>3</v>
      </c>
      <c r="K223" t="b">
        <f t="shared" si="35"/>
        <v>1</v>
      </c>
      <c r="L223" t="b">
        <f t="shared" si="32"/>
        <v>1</v>
      </c>
      <c r="M223" t="b">
        <f t="shared" si="33"/>
        <v>1</v>
      </c>
      <c r="N223" t="b">
        <f t="shared" si="34"/>
        <v>1</v>
      </c>
    </row>
    <row r="224" spans="1:14" x14ac:dyDescent="0.2">
      <c r="B224" s="8"/>
      <c r="C224" s="10">
        <v>2</v>
      </c>
      <c r="D224" s="10">
        <v>4</v>
      </c>
      <c r="E224" s="10">
        <v>5</v>
      </c>
      <c r="F224" s="10">
        <v>6</v>
      </c>
      <c r="G224" s="11">
        <v>2</v>
      </c>
      <c r="H224" s="11">
        <v>4</v>
      </c>
      <c r="I224" s="11">
        <v>5</v>
      </c>
      <c r="J224" s="11">
        <v>6</v>
      </c>
      <c r="K224" t="b">
        <f t="shared" si="35"/>
        <v>1</v>
      </c>
      <c r="L224" t="b">
        <f t="shared" si="32"/>
        <v>1</v>
      </c>
      <c r="M224" t="b">
        <f t="shared" si="33"/>
        <v>1</v>
      </c>
      <c r="N224" t="b">
        <f t="shared" si="34"/>
        <v>1</v>
      </c>
    </row>
    <row r="226" spans="1:16" x14ac:dyDescent="0.2">
      <c r="A226" t="b">
        <f>H226</f>
        <v>1</v>
      </c>
      <c r="B226" s="3" t="s">
        <v>61</v>
      </c>
      <c r="F226" s="1" t="b">
        <v>1</v>
      </c>
      <c r="G226" s="2" t="b" cm="1">
        <f t="array" ref="G226">_xldudf_XLWINGS_DEV_READ_DF_2HEADER_2NAMEDINDEX(B227:F231)</f>
        <v>1</v>
      </c>
      <c r="H226" t="b">
        <f>G226=F226</f>
        <v>1</v>
      </c>
    </row>
    <row r="227" spans="1:16" x14ac:dyDescent="0.2">
      <c r="B227" s="8" t="str">
        <f>""</f>
        <v/>
      </c>
      <c r="C227" s="8" t="str">
        <f>""</f>
        <v/>
      </c>
      <c r="D227" s="8" t="s">
        <v>50</v>
      </c>
      <c r="E227" s="8" t="s">
        <v>50</v>
      </c>
      <c r="F227" s="8" t="s">
        <v>51</v>
      </c>
    </row>
    <row r="228" spans="1:16" x14ac:dyDescent="0.2">
      <c r="B228" s="8" t="s">
        <v>62</v>
      </c>
      <c r="C228" s="8" t="s">
        <v>63</v>
      </c>
      <c r="D228" s="8" t="s">
        <v>52</v>
      </c>
      <c r="E228" s="8" t="s">
        <v>56</v>
      </c>
      <c r="F228" s="8" t="s">
        <v>52</v>
      </c>
    </row>
    <row r="229" spans="1:16" x14ac:dyDescent="0.2">
      <c r="B229" s="8" t="s">
        <v>50</v>
      </c>
      <c r="C229" s="8">
        <v>1</v>
      </c>
      <c r="D229" s="8">
        <v>1</v>
      </c>
      <c r="E229" s="8">
        <v>2</v>
      </c>
      <c r="F229" s="8">
        <v>3</v>
      </c>
    </row>
    <row r="230" spans="1:16" x14ac:dyDescent="0.2">
      <c r="B230" s="8" t="s">
        <v>50</v>
      </c>
      <c r="C230" s="8">
        <v>2</v>
      </c>
      <c r="D230" s="8">
        <v>4</v>
      </c>
      <c r="E230" s="8">
        <v>5</v>
      </c>
      <c r="F230" s="8">
        <v>6</v>
      </c>
    </row>
    <row r="231" spans="1:16" x14ac:dyDescent="0.2">
      <c r="B231" s="8" t="s">
        <v>51</v>
      </c>
      <c r="C231" s="8">
        <v>1</v>
      </c>
      <c r="D231" s="8">
        <v>7</v>
      </c>
      <c r="E231" s="8">
        <v>8</v>
      </c>
      <c r="F231" s="8">
        <v>9</v>
      </c>
    </row>
    <row r="232" spans="1:16" x14ac:dyDescent="0.2">
      <c r="B232" s="8"/>
      <c r="C232" s="8"/>
      <c r="D232" s="8"/>
      <c r="E232" s="8"/>
      <c r="F232" s="8"/>
    </row>
    <row r="233" spans="1:16" x14ac:dyDescent="0.2">
      <c r="A233" t="b">
        <f>AND(L234:P238)</f>
        <v>1</v>
      </c>
      <c r="B233" s="3" t="s">
        <v>72</v>
      </c>
      <c r="C233" s="8"/>
      <c r="D233" s="8"/>
      <c r="E233" s="8"/>
      <c r="F233" s="8"/>
    </row>
    <row r="234" spans="1:16" x14ac:dyDescent="0.2">
      <c r="B234" s="10" t="str">
        <f>""</f>
        <v/>
      </c>
      <c r="C234" s="10" t="str">
        <f>""</f>
        <v/>
      </c>
      <c r="D234" s="10" t="s">
        <v>50</v>
      </c>
      <c r="E234" s="10" t="s">
        <v>50</v>
      </c>
      <c r="F234" s="10" t="s">
        <v>51</v>
      </c>
      <c r="G234" s="11" t="str" cm="1">
        <f t="array" ref="G234:K238">_xldudf_XLWINGS_DEV_WRITE_DF_2HEADER_2NAMEDINDEX()</f>
        <v/>
      </c>
      <c r="H234" s="11" t="str">
        <v/>
      </c>
      <c r="I234" s="11" t="str">
        <v>a</v>
      </c>
      <c r="J234" s="11" t="str">
        <v>a</v>
      </c>
      <c r="K234" s="11" t="str">
        <v>b</v>
      </c>
      <c r="L234" t="b">
        <f>G234=B234</f>
        <v>1</v>
      </c>
      <c r="M234" t="b">
        <f t="shared" ref="M234:P234" si="36">H234=C234</f>
        <v>1</v>
      </c>
      <c r="N234" t="b">
        <f t="shared" si="36"/>
        <v>1</v>
      </c>
      <c r="O234" t="b">
        <f t="shared" si="36"/>
        <v>1</v>
      </c>
      <c r="P234" t="b">
        <f t="shared" si="36"/>
        <v>1</v>
      </c>
    </row>
    <row r="235" spans="1:16" x14ac:dyDescent="0.2">
      <c r="B235" s="10" t="s">
        <v>62</v>
      </c>
      <c r="C235" s="10" t="s">
        <v>63</v>
      </c>
      <c r="D235" s="10" t="s">
        <v>52</v>
      </c>
      <c r="E235" s="10" t="s">
        <v>56</v>
      </c>
      <c r="F235" s="10" t="s">
        <v>52</v>
      </c>
      <c r="G235" s="11" t="str">
        <v>x1</v>
      </c>
      <c r="H235" s="11" t="str">
        <v>x2</v>
      </c>
      <c r="I235" s="11" t="str">
        <v>c</v>
      </c>
      <c r="J235" s="11" t="str">
        <v>d</v>
      </c>
      <c r="K235" s="11" t="str">
        <v>c</v>
      </c>
      <c r="L235" t="b">
        <f t="shared" ref="L235:L238" si="37">G235=B235</f>
        <v>1</v>
      </c>
      <c r="M235" t="b">
        <f t="shared" ref="M235:M238" si="38">H235=C235</f>
        <v>1</v>
      </c>
      <c r="N235" t="b">
        <f t="shared" ref="N235:N238" si="39">I235=D235</f>
        <v>1</v>
      </c>
      <c r="O235" t="b">
        <f t="shared" ref="O235:O238" si="40">J235=E235</f>
        <v>1</v>
      </c>
      <c r="P235" t="b">
        <f t="shared" ref="P235:P238" si="41">K235=F235</f>
        <v>1</v>
      </c>
    </row>
    <row r="236" spans="1:16" x14ac:dyDescent="0.2">
      <c r="B236" s="10" t="s">
        <v>50</v>
      </c>
      <c r="C236" s="10">
        <v>1</v>
      </c>
      <c r="D236" s="10">
        <v>1</v>
      </c>
      <c r="E236" s="10">
        <v>2</v>
      </c>
      <c r="F236" s="10">
        <v>3</v>
      </c>
      <c r="G236" s="11" t="str">
        <v>a</v>
      </c>
      <c r="H236" s="11">
        <v>1</v>
      </c>
      <c r="I236" s="11">
        <v>1</v>
      </c>
      <c r="J236" s="11">
        <v>2</v>
      </c>
      <c r="K236" s="11">
        <v>3</v>
      </c>
      <c r="L236" t="b">
        <f t="shared" si="37"/>
        <v>1</v>
      </c>
      <c r="M236" t="b">
        <f t="shared" si="38"/>
        <v>1</v>
      </c>
      <c r="N236" t="b">
        <f t="shared" si="39"/>
        <v>1</v>
      </c>
      <c r="O236" t="b">
        <f t="shared" si="40"/>
        <v>1</v>
      </c>
      <c r="P236" t="b">
        <f t="shared" si="41"/>
        <v>1</v>
      </c>
    </row>
    <row r="237" spans="1:16" x14ac:dyDescent="0.2">
      <c r="B237" s="10" t="s">
        <v>50</v>
      </c>
      <c r="C237" s="10">
        <v>2</v>
      </c>
      <c r="D237" s="10">
        <v>4</v>
      </c>
      <c r="E237" s="10">
        <v>5</v>
      </c>
      <c r="F237" s="10">
        <v>6</v>
      </c>
      <c r="G237" s="11" t="str">
        <v>a</v>
      </c>
      <c r="H237" s="11">
        <v>2</v>
      </c>
      <c r="I237" s="11">
        <v>4</v>
      </c>
      <c r="J237" s="11">
        <v>5</v>
      </c>
      <c r="K237" s="11">
        <v>6</v>
      </c>
      <c r="L237" t="b">
        <f t="shared" si="37"/>
        <v>1</v>
      </c>
      <c r="M237" t="b">
        <f t="shared" si="38"/>
        <v>1</v>
      </c>
      <c r="N237" t="b">
        <f t="shared" si="39"/>
        <v>1</v>
      </c>
      <c r="O237" t="b">
        <f t="shared" si="40"/>
        <v>1</v>
      </c>
      <c r="P237" t="b">
        <f t="shared" si="41"/>
        <v>1</v>
      </c>
    </row>
    <row r="238" spans="1:16" x14ac:dyDescent="0.2">
      <c r="B238" s="10" t="s">
        <v>51</v>
      </c>
      <c r="C238" s="10">
        <v>1</v>
      </c>
      <c r="D238" s="10">
        <v>7</v>
      </c>
      <c r="E238" s="10">
        <v>8</v>
      </c>
      <c r="F238" s="10">
        <v>9</v>
      </c>
      <c r="G238" s="11" t="str">
        <v>b</v>
      </c>
      <c r="H238" s="11">
        <v>1</v>
      </c>
      <c r="I238" s="11">
        <v>7</v>
      </c>
      <c r="J238" s="11">
        <v>8</v>
      </c>
      <c r="K238" s="11">
        <v>9</v>
      </c>
      <c r="L238" t="b">
        <f t="shared" si="37"/>
        <v>1</v>
      </c>
      <c r="M238" t="b">
        <f t="shared" si="38"/>
        <v>1</v>
      </c>
      <c r="N238" t="b">
        <f t="shared" si="39"/>
        <v>1</v>
      </c>
      <c r="O238" t="b">
        <f t="shared" si="40"/>
        <v>1</v>
      </c>
      <c r="P238" t="b">
        <f t="shared" si="41"/>
        <v>1</v>
      </c>
    </row>
    <row r="239" spans="1:16" x14ac:dyDescent="0.2">
      <c r="B239" s="8"/>
      <c r="C239" s="8"/>
      <c r="D239" s="8"/>
      <c r="E239" s="8"/>
      <c r="F239" s="8"/>
    </row>
    <row r="242" spans="1:16" x14ac:dyDescent="0.2">
      <c r="A242" t="b">
        <f>H242</f>
        <v>1</v>
      </c>
      <c r="B242" s="3" t="s">
        <v>64</v>
      </c>
      <c r="F242" s="1" t="b">
        <v>1</v>
      </c>
      <c r="G242" s="2" t="b" cm="1">
        <f t="array" ref="G242">_xldudf_XLWINGS_DEV_READ_DF_2HEADER_2UNNAMEDINDEX(B243:F247)</f>
        <v>1</v>
      </c>
      <c r="H242" t="b">
        <f>G242=F242</f>
        <v>1</v>
      </c>
    </row>
    <row r="243" spans="1:16" x14ac:dyDescent="0.2">
      <c r="B243" s="8" t="str">
        <f>""</f>
        <v/>
      </c>
      <c r="C243" s="8" t="str">
        <f>""</f>
        <v/>
      </c>
      <c r="D243" s="8" t="s">
        <v>50</v>
      </c>
      <c r="E243" s="8" t="s">
        <v>50</v>
      </c>
      <c r="F243" s="8" t="s">
        <v>51</v>
      </c>
    </row>
    <row r="244" spans="1:16" x14ac:dyDescent="0.2">
      <c r="B244" s="8" t="str">
        <f>""</f>
        <v/>
      </c>
      <c r="C244" s="8" t="str">
        <f>""</f>
        <v/>
      </c>
      <c r="D244" s="8" t="s">
        <v>52</v>
      </c>
      <c r="E244" s="8" t="s">
        <v>56</v>
      </c>
      <c r="F244" s="8" t="s">
        <v>52</v>
      </c>
    </row>
    <row r="245" spans="1:16" x14ac:dyDescent="0.2">
      <c r="B245" s="8" t="s">
        <v>50</v>
      </c>
      <c r="C245" s="8">
        <v>1</v>
      </c>
      <c r="D245" s="8">
        <v>1</v>
      </c>
      <c r="E245" s="8">
        <v>2</v>
      </c>
      <c r="F245" s="8">
        <v>3</v>
      </c>
    </row>
    <row r="246" spans="1:16" x14ac:dyDescent="0.2">
      <c r="B246" s="8" t="s">
        <v>50</v>
      </c>
      <c r="C246" s="8">
        <v>2</v>
      </c>
      <c r="D246" s="8">
        <v>4</v>
      </c>
      <c r="E246" s="8">
        <v>5</v>
      </c>
      <c r="F246" s="8">
        <v>6</v>
      </c>
    </row>
    <row r="247" spans="1:16" x14ac:dyDescent="0.2">
      <c r="B247" s="8" t="s">
        <v>51</v>
      </c>
      <c r="C247" s="8">
        <v>1</v>
      </c>
      <c r="D247" s="8">
        <v>7</v>
      </c>
      <c r="E247" s="8">
        <v>8</v>
      </c>
      <c r="F247" s="8">
        <v>9</v>
      </c>
    </row>
    <row r="248" spans="1:16" x14ac:dyDescent="0.2">
      <c r="B248" s="8"/>
      <c r="C248" s="8"/>
      <c r="D248" s="8"/>
      <c r="E248" s="8"/>
      <c r="F248" s="8"/>
    </row>
    <row r="249" spans="1:16" x14ac:dyDescent="0.2">
      <c r="A249" t="b">
        <f>AND(L250:P254)</f>
        <v>1</v>
      </c>
      <c r="B249" s="3" t="s">
        <v>73</v>
      </c>
      <c r="C249" s="8"/>
      <c r="D249" s="8"/>
      <c r="E249" s="8"/>
      <c r="F249" s="8"/>
    </row>
    <row r="250" spans="1:16" x14ac:dyDescent="0.2">
      <c r="B250" s="10" t="str">
        <f>""</f>
        <v/>
      </c>
      <c r="C250" s="10" t="str">
        <f>""</f>
        <v/>
      </c>
      <c r="D250" s="10" t="s">
        <v>50</v>
      </c>
      <c r="E250" s="10" t="s">
        <v>50</v>
      </c>
      <c r="F250" s="10" t="s">
        <v>51</v>
      </c>
      <c r="G250" s="11" t="str" cm="1">
        <f t="array" ref="G250:K254">_xldudf_XLWINGS_DEV_WRITE_DF_2HEADER_2UNNAMEDINDEX()</f>
        <v/>
      </c>
      <c r="H250" s="11" t="str">
        <v/>
      </c>
      <c r="I250" s="11" t="str">
        <v>a</v>
      </c>
      <c r="J250" s="11" t="str">
        <v>a</v>
      </c>
      <c r="K250" s="11" t="str">
        <v>b</v>
      </c>
      <c r="L250" t="b">
        <f>G250=B250</f>
        <v>1</v>
      </c>
      <c r="M250" t="b">
        <f t="shared" ref="M250:M254" si="42">H250=C250</f>
        <v>1</v>
      </c>
      <c r="N250" t="b">
        <f t="shared" ref="N250:N254" si="43">I250=D250</f>
        <v>1</v>
      </c>
      <c r="O250" t="b">
        <f t="shared" ref="O250:O254" si="44">J250=E250</f>
        <v>1</v>
      </c>
      <c r="P250" t="b">
        <f t="shared" ref="P250:P254" si="45">K250=F250</f>
        <v>1</v>
      </c>
    </row>
    <row r="251" spans="1:16" x14ac:dyDescent="0.2">
      <c r="B251" s="10" t="str">
        <f>""</f>
        <v/>
      </c>
      <c r="C251" s="10" t="str">
        <f>""</f>
        <v/>
      </c>
      <c r="D251" s="10" t="s">
        <v>52</v>
      </c>
      <c r="E251" s="10" t="s">
        <v>56</v>
      </c>
      <c r="F251" s="10" t="s">
        <v>52</v>
      </c>
      <c r="G251" s="11" t="str">
        <v/>
      </c>
      <c r="H251" s="11" t="str">
        <v/>
      </c>
      <c r="I251" s="11" t="str">
        <v>c</v>
      </c>
      <c r="J251" s="11" t="str">
        <v>d</v>
      </c>
      <c r="K251" s="11" t="str">
        <v>c</v>
      </c>
      <c r="L251" t="b">
        <f t="shared" ref="L251:L254" si="46">G251=B251</f>
        <v>1</v>
      </c>
      <c r="M251" t="b">
        <f t="shared" si="42"/>
        <v>1</v>
      </c>
      <c r="N251" t="b">
        <f t="shared" si="43"/>
        <v>1</v>
      </c>
      <c r="O251" t="b">
        <f t="shared" si="44"/>
        <v>1</v>
      </c>
      <c r="P251" t="b">
        <f t="shared" si="45"/>
        <v>1</v>
      </c>
    </row>
    <row r="252" spans="1:16" x14ac:dyDescent="0.2">
      <c r="B252" s="10" t="s">
        <v>50</v>
      </c>
      <c r="C252" s="10">
        <v>1</v>
      </c>
      <c r="D252" s="10">
        <v>1</v>
      </c>
      <c r="E252" s="10">
        <v>2</v>
      </c>
      <c r="F252" s="10">
        <v>3</v>
      </c>
      <c r="G252" s="11" t="str">
        <v>a</v>
      </c>
      <c r="H252" s="11">
        <v>1</v>
      </c>
      <c r="I252" s="11">
        <v>1</v>
      </c>
      <c r="J252" s="11">
        <v>2</v>
      </c>
      <c r="K252" s="11">
        <v>3</v>
      </c>
      <c r="L252" t="b">
        <f t="shared" si="46"/>
        <v>1</v>
      </c>
      <c r="M252" t="b">
        <f t="shared" si="42"/>
        <v>1</v>
      </c>
      <c r="N252" t="b">
        <f t="shared" si="43"/>
        <v>1</v>
      </c>
      <c r="O252" t="b">
        <f t="shared" si="44"/>
        <v>1</v>
      </c>
      <c r="P252" t="b">
        <f t="shared" si="45"/>
        <v>1</v>
      </c>
    </row>
    <row r="253" spans="1:16" x14ac:dyDescent="0.2">
      <c r="B253" s="10" t="s">
        <v>50</v>
      </c>
      <c r="C253" s="10">
        <v>2</v>
      </c>
      <c r="D253" s="10">
        <v>4</v>
      </c>
      <c r="E253" s="10">
        <v>5</v>
      </c>
      <c r="F253" s="10">
        <v>6</v>
      </c>
      <c r="G253" s="11" t="str">
        <v>a</v>
      </c>
      <c r="H253" s="11">
        <v>2</v>
      </c>
      <c r="I253" s="11">
        <v>4</v>
      </c>
      <c r="J253" s="11">
        <v>5</v>
      </c>
      <c r="K253" s="11">
        <v>6</v>
      </c>
      <c r="L253" t="b">
        <f t="shared" si="46"/>
        <v>1</v>
      </c>
      <c r="M253" t="b">
        <f t="shared" si="42"/>
        <v>1</v>
      </c>
      <c r="N253" t="b">
        <f t="shared" si="43"/>
        <v>1</v>
      </c>
      <c r="O253" t="b">
        <f t="shared" si="44"/>
        <v>1</v>
      </c>
      <c r="P253" t="b">
        <f t="shared" si="45"/>
        <v>1</v>
      </c>
    </row>
    <row r="254" spans="1:16" x14ac:dyDescent="0.2">
      <c r="B254" s="10" t="s">
        <v>51</v>
      </c>
      <c r="C254" s="10">
        <v>1</v>
      </c>
      <c r="D254" s="10">
        <v>7</v>
      </c>
      <c r="E254" s="10">
        <v>8</v>
      </c>
      <c r="F254" s="10">
        <v>9</v>
      </c>
      <c r="G254" s="11" t="str">
        <v>b</v>
      </c>
      <c r="H254" s="11">
        <v>1</v>
      </c>
      <c r="I254" s="11">
        <v>7</v>
      </c>
      <c r="J254" s="11">
        <v>8</v>
      </c>
      <c r="K254" s="11">
        <v>9</v>
      </c>
      <c r="L254" t="b">
        <f t="shared" si="46"/>
        <v>1</v>
      </c>
      <c r="M254" t="b">
        <f t="shared" si="42"/>
        <v>1</v>
      </c>
      <c r="N254" t="b">
        <f t="shared" si="43"/>
        <v>1</v>
      </c>
      <c r="O254" t="b">
        <f t="shared" si="44"/>
        <v>1</v>
      </c>
      <c r="P254" t="b">
        <f t="shared" si="45"/>
        <v>1</v>
      </c>
    </row>
    <row r="256" spans="1:16" x14ac:dyDescent="0.2">
      <c r="A256" t="b">
        <f>H256</f>
        <v>1</v>
      </c>
      <c r="B256" s="3" t="s">
        <v>65</v>
      </c>
      <c r="F256" s="1" t="b">
        <v>1</v>
      </c>
      <c r="G256" s="2" t="b" cm="1">
        <f t="array" ref="G256">_xldudf_XLWINGS_DEV_READ_DF_1HEADER_2NAMEDINDEX(B257:F260)</f>
        <v>1</v>
      </c>
      <c r="H256" t="b">
        <f>G256=F256</f>
        <v>1</v>
      </c>
    </row>
    <row r="257" spans="1:16" x14ac:dyDescent="0.2">
      <c r="B257" s="8" t="s">
        <v>62</v>
      </c>
      <c r="C257" s="8" t="s">
        <v>63</v>
      </c>
      <c r="D257" s="8" t="s">
        <v>50</v>
      </c>
      <c r="E257" s="8" t="s">
        <v>56</v>
      </c>
      <c r="F257" s="8" t="s">
        <v>52</v>
      </c>
    </row>
    <row r="258" spans="1:16" x14ac:dyDescent="0.2">
      <c r="B258" s="8" t="s">
        <v>50</v>
      </c>
      <c r="C258" s="8">
        <v>1</v>
      </c>
      <c r="D258" s="8">
        <v>1</v>
      </c>
      <c r="E258" s="8">
        <v>2</v>
      </c>
      <c r="F258" s="8">
        <v>3</v>
      </c>
    </row>
    <row r="259" spans="1:16" x14ac:dyDescent="0.2">
      <c r="B259" s="8" t="s">
        <v>50</v>
      </c>
      <c r="C259" s="8">
        <v>2</v>
      </c>
      <c r="D259" s="8">
        <v>4</v>
      </c>
      <c r="E259" s="8">
        <v>5</v>
      </c>
      <c r="F259" s="8">
        <v>6</v>
      </c>
    </row>
    <row r="260" spans="1:16" x14ac:dyDescent="0.2">
      <c r="B260" s="8" t="s">
        <v>51</v>
      </c>
      <c r="C260" s="8">
        <v>1</v>
      </c>
      <c r="D260" s="8">
        <v>7</v>
      </c>
      <c r="E260" s="8">
        <v>8</v>
      </c>
      <c r="F260" s="8">
        <v>9</v>
      </c>
    </row>
    <row r="261" spans="1:16" x14ac:dyDescent="0.2">
      <c r="B261" s="8"/>
      <c r="C261" s="8"/>
      <c r="D261" s="8"/>
      <c r="E261" s="8"/>
      <c r="F261" s="8"/>
    </row>
    <row r="262" spans="1:16" x14ac:dyDescent="0.2">
      <c r="A262" t="b">
        <f>AND(L263:P266)</f>
        <v>1</v>
      </c>
      <c r="B262" s="3" t="s">
        <v>74</v>
      </c>
    </row>
    <row r="263" spans="1:16" x14ac:dyDescent="0.2">
      <c r="B263" s="10" t="s">
        <v>62</v>
      </c>
      <c r="C263" s="10" t="s">
        <v>63</v>
      </c>
      <c r="D263" s="10" t="s">
        <v>50</v>
      </c>
      <c r="E263" s="10" t="s">
        <v>56</v>
      </c>
      <c r="F263" s="10" t="s">
        <v>52</v>
      </c>
      <c r="G263" s="11" t="str" cm="1">
        <f t="array" ref="G263:K266">_xldudf_XLWINGS_DEV_WRITE_DF_1HEADER_2NAMEDINDEX()</f>
        <v>x1</v>
      </c>
      <c r="H263" s="11" t="str">
        <v>x2</v>
      </c>
      <c r="I263" s="11" t="str">
        <v>a</v>
      </c>
      <c r="J263" s="11" t="str">
        <v>d</v>
      </c>
      <c r="K263" s="11" t="str">
        <v>c</v>
      </c>
      <c r="L263" t="b">
        <f>G263=B263</f>
        <v>1</v>
      </c>
      <c r="M263" t="b">
        <f t="shared" ref="M263:P266" si="47">H263=C263</f>
        <v>1</v>
      </c>
      <c r="N263" t="b">
        <f t="shared" si="47"/>
        <v>1</v>
      </c>
      <c r="O263" t="b">
        <f t="shared" si="47"/>
        <v>1</v>
      </c>
      <c r="P263" t="b">
        <f t="shared" si="47"/>
        <v>1</v>
      </c>
    </row>
    <row r="264" spans="1:16" x14ac:dyDescent="0.2">
      <c r="B264" s="10" t="s">
        <v>50</v>
      </c>
      <c r="C264" s="10">
        <v>1</v>
      </c>
      <c r="D264" s="10">
        <v>1</v>
      </c>
      <c r="E264" s="10">
        <v>2</v>
      </c>
      <c r="F264" s="10">
        <v>3</v>
      </c>
      <c r="G264" s="11" t="str">
        <v>a</v>
      </c>
      <c r="H264" s="11">
        <v>1</v>
      </c>
      <c r="I264" s="11">
        <v>1</v>
      </c>
      <c r="J264" s="11">
        <v>2</v>
      </c>
      <c r="K264" s="11">
        <v>3</v>
      </c>
      <c r="L264" t="b">
        <f t="shared" ref="L264:L266" si="48">G264=B264</f>
        <v>1</v>
      </c>
      <c r="M264" t="b">
        <f t="shared" si="47"/>
        <v>1</v>
      </c>
      <c r="N264" t="b">
        <f t="shared" si="47"/>
        <v>1</v>
      </c>
      <c r="O264" t="b">
        <f t="shared" si="47"/>
        <v>1</v>
      </c>
      <c r="P264" t="b">
        <f t="shared" si="47"/>
        <v>1</v>
      </c>
    </row>
    <row r="265" spans="1:16" x14ac:dyDescent="0.2">
      <c r="B265" s="10" t="s">
        <v>50</v>
      </c>
      <c r="C265" s="10">
        <v>2</v>
      </c>
      <c r="D265" s="10">
        <v>4</v>
      </c>
      <c r="E265" s="10">
        <v>5</v>
      </c>
      <c r="F265" s="10">
        <v>6</v>
      </c>
      <c r="G265" s="11" t="str">
        <v>a</v>
      </c>
      <c r="H265" s="11">
        <v>2</v>
      </c>
      <c r="I265" s="11">
        <v>4</v>
      </c>
      <c r="J265" s="11">
        <v>5</v>
      </c>
      <c r="K265" s="11">
        <v>6</v>
      </c>
      <c r="L265" t="b">
        <f t="shared" si="48"/>
        <v>1</v>
      </c>
      <c r="M265" t="b">
        <f t="shared" si="47"/>
        <v>1</v>
      </c>
      <c r="N265" t="b">
        <f t="shared" si="47"/>
        <v>1</v>
      </c>
      <c r="O265" t="b">
        <f t="shared" si="47"/>
        <v>1</v>
      </c>
      <c r="P265" t="b">
        <f t="shared" si="47"/>
        <v>1</v>
      </c>
    </row>
    <row r="266" spans="1:16" x14ac:dyDescent="0.2">
      <c r="B266" s="10" t="s">
        <v>51</v>
      </c>
      <c r="C266" s="10">
        <v>1</v>
      </c>
      <c r="D266" s="10">
        <v>7</v>
      </c>
      <c r="E266" s="10">
        <v>8</v>
      </c>
      <c r="F266" s="10">
        <v>9</v>
      </c>
      <c r="G266" s="11" t="str">
        <v>b</v>
      </c>
      <c r="H266" s="11">
        <v>1</v>
      </c>
      <c r="I266" s="11">
        <v>7</v>
      </c>
      <c r="J266" s="11">
        <v>8</v>
      </c>
      <c r="K266" s="11">
        <v>9</v>
      </c>
      <c r="L266" t="b">
        <f t="shared" si="48"/>
        <v>1</v>
      </c>
      <c r="M266" t="b">
        <f t="shared" si="47"/>
        <v>1</v>
      </c>
      <c r="N266" t="b">
        <f t="shared" si="47"/>
        <v>1</v>
      </c>
      <c r="O266" t="b">
        <f t="shared" si="47"/>
        <v>1</v>
      </c>
      <c r="P266" t="b">
        <f t="shared" si="47"/>
        <v>1</v>
      </c>
    </row>
    <row r="267" spans="1:16" x14ac:dyDescent="0.2"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 spans="1:16" x14ac:dyDescent="0.2">
      <c r="A268" t="b">
        <f>H268</f>
        <v>1</v>
      </c>
      <c r="B268" s="3" t="s">
        <v>66</v>
      </c>
      <c r="F268" s="1" t="b">
        <v>1</v>
      </c>
      <c r="G268" s="2" t="b" cm="1">
        <f t="array" ref="G268">_xldudf_XLWINGS_DEV_READ_DF_DATE_INDEX(B269:E271)</f>
        <v>1</v>
      </c>
      <c r="H268" t="b">
        <f>G268=F268</f>
        <v>1</v>
      </c>
    </row>
    <row r="269" spans="1:16" x14ac:dyDescent="0.2">
      <c r="B269" s="8" t="str">
        <f>""</f>
        <v/>
      </c>
      <c r="C269" s="8" t="s">
        <v>52</v>
      </c>
      <c r="D269" s="8" t="s">
        <v>56</v>
      </c>
      <c r="E269" s="8" t="s">
        <v>52</v>
      </c>
    </row>
    <row r="270" spans="1:16" x14ac:dyDescent="0.2">
      <c r="B270" s="9">
        <v>36507</v>
      </c>
      <c r="C270" s="8">
        <v>1</v>
      </c>
      <c r="D270" s="8">
        <v>2</v>
      </c>
      <c r="E270" s="8">
        <v>3</v>
      </c>
    </row>
    <row r="271" spans="1:16" x14ac:dyDescent="0.2">
      <c r="B271" s="9">
        <v>36508</v>
      </c>
      <c r="C271" s="8">
        <v>4</v>
      </c>
      <c r="D271" s="8">
        <v>5</v>
      </c>
      <c r="E271" s="8">
        <v>6</v>
      </c>
    </row>
    <row r="273" spans="1:14" x14ac:dyDescent="0.2">
      <c r="A273" t="b">
        <f>AND(K273:N275)</f>
        <v>1</v>
      </c>
      <c r="B273" s="3" t="s">
        <v>75</v>
      </c>
      <c r="C273" s="10" t="str">
        <f>""</f>
        <v/>
      </c>
      <c r="D273" s="10" t="s">
        <v>52</v>
      </c>
      <c r="E273" s="10" t="s">
        <v>56</v>
      </c>
      <c r="F273" s="10" t="s">
        <v>52</v>
      </c>
      <c r="G273" s="11" t="str" cm="1">
        <f t="array" ref="G273:J275">_xldudf_XLWINGS_DEV_WRITE_DF_DATE_INDEX()</f>
        <v/>
      </c>
      <c r="H273" s="11" t="str">
        <v>c</v>
      </c>
      <c r="I273" s="11" t="str">
        <v>d</v>
      </c>
      <c r="J273" s="11" t="str">
        <v>c</v>
      </c>
      <c r="K273" t="b">
        <f>G273=C273</f>
        <v>1</v>
      </c>
      <c r="L273" t="b">
        <f t="shared" ref="L273:N275" si="49">H273=D273</f>
        <v>1</v>
      </c>
      <c r="M273" t="b">
        <f t="shared" si="49"/>
        <v>1</v>
      </c>
      <c r="N273" t="b">
        <f t="shared" si="49"/>
        <v>1</v>
      </c>
    </row>
    <row r="274" spans="1:14" x14ac:dyDescent="0.2">
      <c r="C274" s="12">
        <v>36507</v>
      </c>
      <c r="D274" s="10">
        <v>1</v>
      </c>
      <c r="E274" s="10">
        <v>2</v>
      </c>
      <c r="F274" s="10">
        <v>3</v>
      </c>
      <c r="G274" s="13" vm="5">
        <v>36507</v>
      </c>
      <c r="H274" s="11">
        <v>1</v>
      </c>
      <c r="I274" s="11">
        <v>2</v>
      </c>
      <c r="J274" s="11">
        <v>3</v>
      </c>
      <c r="K274" t="b">
        <f t="shared" ref="K274:K275" si="50">G274=C274</f>
        <v>1</v>
      </c>
      <c r="L274" t="b">
        <f t="shared" si="49"/>
        <v>1</v>
      </c>
      <c r="M274" t="b">
        <f t="shared" si="49"/>
        <v>1</v>
      </c>
      <c r="N274" t="b">
        <f t="shared" si="49"/>
        <v>1</v>
      </c>
    </row>
    <row r="275" spans="1:14" x14ac:dyDescent="0.2">
      <c r="C275" s="12">
        <v>36508</v>
      </c>
      <c r="D275" s="10">
        <v>4</v>
      </c>
      <c r="E275" s="10">
        <v>5</v>
      </c>
      <c r="F275" s="10">
        <v>6</v>
      </c>
      <c r="G275" s="13" vm="6">
        <v>36508</v>
      </c>
      <c r="H275" s="11">
        <v>4</v>
      </c>
      <c r="I275" s="11">
        <v>5</v>
      </c>
      <c r="J275" s="11">
        <v>6</v>
      </c>
      <c r="K275" t="b">
        <f t="shared" si="50"/>
        <v>1</v>
      </c>
      <c r="L275" t="b">
        <f t="shared" si="49"/>
        <v>1</v>
      </c>
      <c r="M275" t="b">
        <f t="shared" si="49"/>
        <v>1</v>
      </c>
      <c r="N275" t="b">
        <f t="shared" si="49"/>
        <v>1</v>
      </c>
    </row>
    <row r="277" spans="1:14" x14ac:dyDescent="0.2">
      <c r="A277" t="b">
        <f>H277</f>
        <v>1</v>
      </c>
      <c r="B277" s="3" t="s">
        <v>88</v>
      </c>
      <c r="F277" s="1">
        <v>153</v>
      </c>
      <c r="G277" s="2" cm="1">
        <f t="array" ref="G277">_xldudf_XLWINGS_DEV_DEFAULT_ARGS(2,"bye")</f>
        <v>153</v>
      </c>
      <c r="H277" t="b">
        <f>F277=G277</f>
        <v>1</v>
      </c>
    </row>
    <row r="279" spans="1:14" x14ac:dyDescent="0.2">
      <c r="A279" t="b">
        <f>H279</f>
        <v>1</v>
      </c>
      <c r="B279" s="3" t="s">
        <v>87</v>
      </c>
      <c r="F279" s="1">
        <v>153</v>
      </c>
      <c r="G279" s="2" cm="1">
        <f t="array" ref="G279">_xldudf_XLWINGS_DEV_VARIABLE_ARGS(2, 20, 30, 40)</f>
        <v>153</v>
      </c>
      <c r="H279" t="b">
        <f>F279=G279</f>
        <v>1</v>
      </c>
    </row>
    <row r="281" spans="1:14" x14ac:dyDescent="0.2">
      <c r="A281" t="b">
        <f>H281</f>
        <v>1</v>
      </c>
      <c r="B281" s="3" t="s">
        <v>86</v>
      </c>
      <c r="F281" s="1">
        <v>20</v>
      </c>
      <c r="G281" s="2" cm="1">
        <f t="array" ref="G281">_xldudf_XLWINGS_DEV_OPTIONAL_ARGS(2)</f>
        <v>20</v>
      </c>
      <c r="H281" t="b">
        <f>G281=F281</f>
        <v>1</v>
      </c>
    </row>
    <row r="282" spans="1:14" x14ac:dyDescent="0.2">
      <c r="A282" t="b">
        <f>H282</f>
        <v>1</v>
      </c>
      <c r="F282" s="1">
        <v>30</v>
      </c>
      <c r="G282" s="2" cm="1">
        <f t="array" ref="G282">_xldudf_XLWINGS_DEV_OPTIONAL_ARGS(1, 30)</f>
        <v>30</v>
      </c>
      <c r="H282" t="b">
        <f>G282=F282</f>
        <v>1</v>
      </c>
    </row>
    <row r="284" spans="1:14" x14ac:dyDescent="0.2">
      <c r="A284" t="b">
        <f>IFERROR(H284,FALSE)</f>
        <v>1</v>
      </c>
      <c r="B284" s="3" t="s">
        <v>90</v>
      </c>
      <c r="F284" s="1"/>
      <c r="G284" s="2" t="str" cm="1">
        <f t="array" ref="G284">_xldudf_XLWINGS_DEV_WRITE_NONE()</f>
        <v/>
      </c>
      <c r="H284" t="b">
        <f>F284=G284</f>
        <v>1</v>
      </c>
    </row>
    <row r="286" spans="1:14" x14ac:dyDescent="0.2">
      <c r="A286" t="b">
        <f>H286</f>
        <v>1</v>
      </c>
      <c r="B286" s="3" t="s">
        <v>91</v>
      </c>
      <c r="C286" s="3"/>
      <c r="F286" s="1" t="b">
        <v>1</v>
      </c>
      <c r="G286" s="2" t="b" cm="1">
        <f t="array" ref="G286">_xldudf_XLWINGS_DEV_READ_SERIES_HEADER_NAMELESS_2INDEX(C287:E289)</f>
        <v>1</v>
      </c>
      <c r="H286" t="b">
        <f>F286=G286</f>
        <v>1</v>
      </c>
    </row>
    <row r="287" spans="1:14" x14ac:dyDescent="0.2">
      <c r="C287" t="str">
        <f>""</f>
        <v/>
      </c>
      <c r="D287" t="str">
        <f>""</f>
        <v/>
      </c>
      <c r="E287" t="s">
        <v>3</v>
      </c>
    </row>
    <row r="288" spans="1:14" x14ac:dyDescent="0.2">
      <c r="C288" t="s">
        <v>50</v>
      </c>
      <c r="D288">
        <v>10</v>
      </c>
      <c r="E288">
        <v>1</v>
      </c>
    </row>
    <row r="289" spans="1:13" x14ac:dyDescent="0.2">
      <c r="C289" t="s">
        <v>50</v>
      </c>
      <c r="D289">
        <v>20</v>
      </c>
      <c r="E289">
        <v>2</v>
      </c>
    </row>
    <row r="291" spans="1:13" x14ac:dyDescent="0.2">
      <c r="A291" t="b">
        <f>H291</f>
        <v>1</v>
      </c>
      <c r="B291" s="3" t="s">
        <v>92</v>
      </c>
      <c r="C291" s="3"/>
      <c r="F291" s="1" t="b">
        <v>1</v>
      </c>
      <c r="G291" s="2" t="b" cm="1">
        <f t="array" ref="G291">_xldudf_XLWINGS_DEV_READ_SERIES_HEADER_NAMED_2INDEX(C292:E294)</f>
        <v>1</v>
      </c>
      <c r="H291" t="b">
        <f>F291=G291</f>
        <v>1</v>
      </c>
    </row>
    <row r="292" spans="1:13" x14ac:dyDescent="0.2">
      <c r="C292" t="s">
        <v>57</v>
      </c>
      <c r="D292" t="s">
        <v>93</v>
      </c>
      <c r="E292" t="s">
        <v>3</v>
      </c>
    </row>
    <row r="293" spans="1:13" x14ac:dyDescent="0.2">
      <c r="C293" t="s">
        <v>50</v>
      </c>
      <c r="D293">
        <v>10</v>
      </c>
      <c r="E293">
        <v>1</v>
      </c>
    </row>
    <row r="294" spans="1:13" x14ac:dyDescent="0.2">
      <c r="C294" t="s">
        <v>50</v>
      </c>
      <c r="D294">
        <v>20</v>
      </c>
      <c r="E294">
        <v>2</v>
      </c>
    </row>
    <row r="295" spans="1:13" x14ac:dyDescent="0.2">
      <c r="A295" t="b">
        <f>H295</f>
        <v>1</v>
      </c>
      <c r="B295" s="3" t="s">
        <v>94</v>
      </c>
      <c r="C295" s="3"/>
      <c r="F295" s="1" t="b">
        <v>1</v>
      </c>
      <c r="G295" s="2" t="b" cm="1">
        <f t="array" ref="G295">_xldudf_XLWINGS_DEV_READ_SERIES_NOHEADER_2INDEX(C296:E297)</f>
        <v>1</v>
      </c>
      <c r="H295" t="b">
        <f>F295=G295</f>
        <v>1</v>
      </c>
    </row>
    <row r="296" spans="1:13" x14ac:dyDescent="0.2">
      <c r="C296" t="s">
        <v>50</v>
      </c>
      <c r="D296">
        <v>10</v>
      </c>
      <c r="E296">
        <v>1</v>
      </c>
    </row>
    <row r="297" spans="1:13" x14ac:dyDescent="0.2">
      <c r="C297" t="s">
        <v>50</v>
      </c>
      <c r="D297">
        <v>20</v>
      </c>
      <c r="E297">
        <v>2</v>
      </c>
    </row>
    <row r="299" spans="1:13" x14ac:dyDescent="0.2">
      <c r="A299" t="b">
        <f>AND(K299:M301)</f>
        <v>1</v>
      </c>
      <c r="B299" s="3" t="s">
        <v>95</v>
      </c>
      <c r="C299" s="8"/>
      <c r="D299" s="1" t="str">
        <f>""</f>
        <v/>
      </c>
      <c r="E299" s="1" t="str">
        <f>""</f>
        <v/>
      </c>
      <c r="F299" s="1" t="s">
        <v>3</v>
      </c>
      <c r="G299" s="11" t="str" cm="1">
        <f t="array" ref="G299:I301">_xldudf_XLWINGS_DEV_WRITE_SERIES_HEADER_NAMELESS_2INDEX()</f>
        <v/>
      </c>
      <c r="H299" s="11" t="str">
        <v/>
      </c>
      <c r="I299" s="11" t="str">
        <v>name</v>
      </c>
      <c r="J299" s="8"/>
      <c r="K299" t="b">
        <f>G299=D299</f>
        <v>1</v>
      </c>
      <c r="L299" t="b">
        <f t="shared" ref="L299:M301" si="51">H299=E299</f>
        <v>1</v>
      </c>
      <c r="M299" t="b">
        <f t="shared" si="51"/>
        <v>1</v>
      </c>
    </row>
    <row r="300" spans="1:13" x14ac:dyDescent="0.2">
      <c r="C300" s="9"/>
      <c r="D300" s="1" t="s">
        <v>50</v>
      </c>
      <c r="E300" s="1">
        <v>10</v>
      </c>
      <c r="F300" s="1">
        <v>1</v>
      </c>
      <c r="G300" s="13" t="str">
        <v>a</v>
      </c>
      <c r="H300" s="11">
        <v>10</v>
      </c>
      <c r="I300" s="11">
        <v>1</v>
      </c>
      <c r="J300" s="8"/>
      <c r="K300" t="b">
        <f t="shared" ref="K300:K301" si="52">G300=D300</f>
        <v>1</v>
      </c>
      <c r="L300" t="b">
        <f t="shared" si="51"/>
        <v>1</v>
      </c>
      <c r="M300" t="b">
        <f t="shared" si="51"/>
        <v>1</v>
      </c>
    </row>
    <row r="301" spans="1:13" x14ac:dyDescent="0.2">
      <c r="C301" s="9"/>
      <c r="D301" s="1" t="s">
        <v>50</v>
      </c>
      <c r="E301" s="1">
        <v>20</v>
      </c>
      <c r="F301" s="1">
        <v>2</v>
      </c>
      <c r="G301" s="13" t="str">
        <v>a</v>
      </c>
      <c r="H301" s="11">
        <v>20</v>
      </c>
      <c r="I301" s="11">
        <v>2</v>
      </c>
      <c r="J301" s="8"/>
      <c r="K301" t="b">
        <f t="shared" si="52"/>
        <v>1</v>
      </c>
      <c r="L301" t="b">
        <f t="shared" si="51"/>
        <v>1</v>
      </c>
      <c r="M301" t="b">
        <f t="shared" si="51"/>
        <v>1</v>
      </c>
    </row>
    <row r="303" spans="1:13" x14ac:dyDescent="0.2">
      <c r="A303" t="b">
        <f>AND(K303:M305)</f>
        <v>1</v>
      </c>
      <c r="B303" s="3" t="s">
        <v>96</v>
      </c>
      <c r="C303" s="8"/>
      <c r="D303" s="1" t="s">
        <v>57</v>
      </c>
      <c r="E303" s="1" t="s">
        <v>93</v>
      </c>
      <c r="F303" s="1" t="s">
        <v>3</v>
      </c>
      <c r="G303" s="11" t="str" cm="1">
        <f t="array" ref="G303:I305">_xldudf_XLWINGS_DEV_WRITE_SERIES_HEADER_NAMED_2INDEX()</f>
        <v>ix1</v>
      </c>
      <c r="H303" s="11" t="str">
        <v>ix2</v>
      </c>
      <c r="I303" s="11" t="str">
        <v>name</v>
      </c>
      <c r="J303" s="8"/>
      <c r="K303" t="b">
        <f>G303=D303</f>
        <v>1</v>
      </c>
      <c r="L303" t="b">
        <f t="shared" ref="L303:L305" si="53">H303=E303</f>
        <v>1</v>
      </c>
      <c r="M303" t="b">
        <f t="shared" ref="M303:M305" si="54">I303=F303</f>
        <v>1</v>
      </c>
    </row>
    <row r="304" spans="1:13" x14ac:dyDescent="0.2">
      <c r="C304" s="9"/>
      <c r="D304" s="1" t="s">
        <v>50</v>
      </c>
      <c r="E304" s="1">
        <v>10</v>
      </c>
      <c r="F304" s="1">
        <v>1</v>
      </c>
      <c r="G304" s="13" t="str">
        <v>a</v>
      </c>
      <c r="H304" s="11">
        <v>10</v>
      </c>
      <c r="I304" s="11">
        <v>1</v>
      </c>
      <c r="J304" s="8"/>
      <c r="K304" t="b">
        <f t="shared" ref="K304:K305" si="55">G304=D304</f>
        <v>1</v>
      </c>
      <c r="L304" t="b">
        <f t="shared" si="53"/>
        <v>1</v>
      </c>
      <c r="M304" t="b">
        <f t="shared" si="54"/>
        <v>1</v>
      </c>
    </row>
    <row r="305" spans="1:13" x14ac:dyDescent="0.2">
      <c r="C305" s="9"/>
      <c r="D305" s="1" t="s">
        <v>50</v>
      </c>
      <c r="E305" s="1">
        <v>20</v>
      </c>
      <c r="F305" s="1">
        <v>2</v>
      </c>
      <c r="G305" s="13" t="str">
        <v>a</v>
      </c>
      <c r="H305" s="11">
        <v>20</v>
      </c>
      <c r="I305" s="11">
        <v>2</v>
      </c>
      <c r="J305" s="8"/>
      <c r="K305" t="b">
        <f t="shared" si="55"/>
        <v>1</v>
      </c>
      <c r="L305" t="b">
        <f t="shared" si="53"/>
        <v>1</v>
      </c>
      <c r="M305" t="b">
        <f t="shared" si="54"/>
        <v>1</v>
      </c>
    </row>
    <row r="307" spans="1:13" x14ac:dyDescent="0.2">
      <c r="A307" t="b">
        <f>AND(K307:M308)</f>
        <v>1</v>
      </c>
      <c r="B307" s="3" t="s">
        <v>97</v>
      </c>
      <c r="C307" s="8"/>
      <c r="D307" s="1" t="s">
        <v>50</v>
      </c>
      <c r="E307" s="1">
        <v>10</v>
      </c>
      <c r="F307" s="1">
        <v>1</v>
      </c>
      <c r="G307" s="11" t="str" cm="1">
        <f t="array" ref="G307:I308">_xldudf_XLWINGS_DEV_WRITE_SERIES_NOHEADER_2INDEX()</f>
        <v>a</v>
      </c>
      <c r="H307" s="11">
        <v>10</v>
      </c>
      <c r="I307" s="11">
        <v>1</v>
      </c>
      <c r="J307" s="8"/>
      <c r="K307" t="b">
        <f>G307=D307</f>
        <v>1</v>
      </c>
      <c r="L307" t="b">
        <f t="shared" ref="L307:L308" si="56">H307=E307</f>
        <v>1</v>
      </c>
      <c r="M307" t="b">
        <f t="shared" ref="M307:M308" si="57">I307=F307</f>
        <v>1</v>
      </c>
    </row>
    <row r="308" spans="1:13" x14ac:dyDescent="0.2">
      <c r="C308" s="9"/>
      <c r="D308" s="1" t="s">
        <v>50</v>
      </c>
      <c r="E308" s="1">
        <v>20</v>
      </c>
      <c r="F308" s="1">
        <v>2</v>
      </c>
      <c r="G308" s="13" t="str">
        <v>a</v>
      </c>
      <c r="H308" s="11">
        <v>20</v>
      </c>
      <c r="I308" s="11">
        <v>2</v>
      </c>
      <c r="J308" s="8"/>
      <c r="K308" t="b">
        <f t="shared" ref="K308" si="58">G308=D308</f>
        <v>1</v>
      </c>
      <c r="L308" t="b">
        <f t="shared" si="56"/>
        <v>1</v>
      </c>
      <c r="M308" t="b">
        <f t="shared" si="57"/>
        <v>1</v>
      </c>
    </row>
    <row r="310" spans="1:13" x14ac:dyDescent="0.2">
      <c r="A310" t="b">
        <f>IFERROR(AND(K310:K312),FALSE)</f>
        <v>1</v>
      </c>
      <c r="B310" s="3" t="s">
        <v>98</v>
      </c>
      <c r="C310" s="8"/>
      <c r="F310" s="1">
        <v>1</v>
      </c>
      <c r="G310" s="22" cm="1">
        <f t="array" ref="G310:G312">_xldudf_XLWINGS_DEV_WRITE_SERIES_NAN()</f>
        <v>1</v>
      </c>
      <c r="H310" s="8"/>
      <c r="I310" s="8"/>
      <c r="J310" s="8"/>
      <c r="K310" t="b">
        <f>G310=F310</f>
        <v>1</v>
      </c>
    </row>
    <row r="311" spans="1:13" x14ac:dyDescent="0.2">
      <c r="C311" s="9"/>
      <c r="F311" s="1" t="e">
        <v>#NUM!</v>
      </c>
      <c r="G311" s="22" t="e">
        <v>#NUM!</v>
      </c>
      <c r="H311" s="8"/>
      <c r="I311" s="8"/>
      <c r="J311" s="8"/>
      <c r="K311" t="b">
        <f>ISERROR(G311)</f>
        <v>1</v>
      </c>
    </row>
    <row r="312" spans="1:13" x14ac:dyDescent="0.2">
      <c r="F312" s="1">
        <v>3</v>
      </c>
      <c r="G312" s="22">
        <v>3</v>
      </c>
      <c r="K312" t="b">
        <f t="shared" ref="K312" si="59">G312=F312</f>
        <v>1</v>
      </c>
    </row>
    <row r="314" spans="1:13" x14ac:dyDescent="0.2">
      <c r="A314" t="b">
        <f>H314</f>
        <v>1</v>
      </c>
      <c r="B314" s="23" t="s">
        <v>101</v>
      </c>
      <c r="F314" s="1" t="s">
        <v>102</v>
      </c>
      <c r="G314" s="2" t="str" cm="1">
        <f t="array" ref="G314">_xldudf_XLWINGS_DEV_METHOD_SIGNATURE_WITH_MORE_THAN_1024_CHARACTERS()</f>
        <v>splitted signature</v>
      </c>
      <c r="H314" t="b">
        <f>F314=G314</f>
        <v>1</v>
      </c>
    </row>
    <row r="316" spans="1:13" x14ac:dyDescent="0.2">
      <c r="A316" t="b">
        <f>H316</f>
        <v>1</v>
      </c>
      <c r="B316" s="23" t="s">
        <v>103</v>
      </c>
      <c r="F316" s="1" t="s">
        <v>104</v>
      </c>
      <c r="G316" s="2" t="str" cm="1">
        <f t="array" ref="G316">_xldudf_XLWINGS_DEV_METHOD_SIGNATURE_WITH_LESS_THAN_1024_CHARACTERS()</f>
        <v>non splitted signature</v>
      </c>
      <c r="H316" t="b">
        <f>F316=G316</f>
        <v>1</v>
      </c>
    </row>
    <row r="318" spans="1:13" x14ac:dyDescent="0.2">
      <c r="A318" t="b">
        <f>AND(I318:J319)</f>
        <v>1</v>
      </c>
      <c r="B318" s="23" t="s">
        <v>105</v>
      </c>
      <c r="E318" s="1"/>
      <c r="F318" s="1">
        <v>1</v>
      </c>
      <c r="G318" s="24" t="str" cm="1">
        <f t="array" ref="G318:H319">_xldudf_XLWINGS_DEV_RETURN_PD_NAT()</f>
        <v/>
      </c>
      <c r="H318" s="24">
        <v>1</v>
      </c>
      <c r="I318" t="b">
        <f>E318=G318</f>
        <v>1</v>
      </c>
      <c r="J318" t="b">
        <f>F318=H318</f>
        <v>1</v>
      </c>
    </row>
    <row r="319" spans="1:13" x14ac:dyDescent="0.2">
      <c r="E319" s="1">
        <v>1</v>
      </c>
      <c r="F319" s="1"/>
      <c r="G319" s="24">
        <v>1</v>
      </c>
      <c r="H319" s="24" t="e">
        <v>#NUM!</v>
      </c>
      <c r="I319" t="b">
        <f>E319=G319</f>
        <v>1</v>
      </c>
      <c r="J319" t="b">
        <f>ISERROR(H319)</f>
        <v>1</v>
      </c>
    </row>
    <row r="321" spans="1:7" x14ac:dyDescent="0.2">
      <c r="A321" t="b">
        <f>G321=TRUE</f>
        <v>1</v>
      </c>
      <c r="B321" s="23" t="s">
        <v>113</v>
      </c>
      <c r="C321" s="1" t="str">
        <f>""</f>
        <v/>
      </c>
      <c r="D321" s="1" t="s">
        <v>110</v>
      </c>
      <c r="E321" s="1" t="s">
        <v>111</v>
      </c>
      <c r="F321" s="1" t="s">
        <v>112</v>
      </c>
      <c r="G321" s="2" t="b" cm="1">
        <f t="array" ref="G321">_xldudf_XLWINGS_DEV_PARSE_DATES_INDEX(C321:F324)</f>
        <v>1</v>
      </c>
    </row>
    <row r="322" spans="1:7" x14ac:dyDescent="0.2">
      <c r="C322" s="5">
        <v>44197.466099537036</v>
      </c>
      <c r="D322" s="1">
        <v>1</v>
      </c>
      <c r="E322" s="5">
        <v>44197.466099537036</v>
      </c>
      <c r="F322" s="1">
        <v>4</v>
      </c>
    </row>
    <row r="323" spans="1:7" x14ac:dyDescent="0.2">
      <c r="C323" s="5">
        <v>44198.932199074072</v>
      </c>
      <c r="D323" s="1">
        <v>2</v>
      </c>
      <c r="E323" s="5">
        <v>44198.932199074072</v>
      </c>
      <c r="F323" s="1">
        <v>5</v>
      </c>
    </row>
    <row r="324" spans="1:7" x14ac:dyDescent="0.2">
      <c r="C324" s="5">
        <v>44199</v>
      </c>
      <c r="D324" s="1">
        <v>3</v>
      </c>
      <c r="E324" s="5">
        <v>44199</v>
      </c>
      <c r="F324" s="1">
        <v>6</v>
      </c>
    </row>
    <row r="326" spans="1:7" x14ac:dyDescent="0.2">
      <c r="A326" t="b">
        <f>G326=TRUE</f>
        <v>1</v>
      </c>
      <c r="B326" s="23" t="s">
        <v>115</v>
      </c>
      <c r="C326" s="1" t="s">
        <v>4</v>
      </c>
      <c r="D326" s="1" t="s">
        <v>110</v>
      </c>
      <c r="E326" s="1" t="s">
        <v>111</v>
      </c>
      <c r="F326" s="1" t="s">
        <v>112</v>
      </c>
      <c r="G326" s="2" t="b" cm="1">
        <f t="array" ref="G326">_xldudf_XLWINGS_DEV_PARSE_DATES_NAMES(C326:F329)</f>
        <v>1</v>
      </c>
    </row>
    <row r="327" spans="1:7" x14ac:dyDescent="0.2">
      <c r="C327" s="5">
        <v>44197.466099537036</v>
      </c>
      <c r="D327" s="1">
        <v>1</v>
      </c>
      <c r="E327" s="5">
        <v>44197.466099537036</v>
      </c>
      <c r="F327" s="1">
        <v>4</v>
      </c>
    </row>
    <row r="328" spans="1:7" x14ac:dyDescent="0.2">
      <c r="C328" s="5">
        <v>44198.932199074072</v>
      </c>
      <c r="D328" s="1">
        <v>2</v>
      </c>
      <c r="E328" s="5">
        <v>44198.932199074072</v>
      </c>
      <c r="F328" s="1">
        <v>5</v>
      </c>
    </row>
    <row r="329" spans="1:7" x14ac:dyDescent="0.2">
      <c r="C329" s="5">
        <v>44199</v>
      </c>
      <c r="D329" s="1">
        <v>3</v>
      </c>
      <c r="E329" s="5">
        <v>44199</v>
      </c>
      <c r="F329" s="1">
        <v>6</v>
      </c>
    </row>
    <row r="332" spans="1:7" x14ac:dyDescent="0.2">
      <c r="A332" t="b">
        <f>G332=TRUE</f>
        <v>1</v>
      </c>
      <c r="B332" s="23" t="s">
        <v>114</v>
      </c>
      <c r="E332" s="1" t="str">
        <f>""</f>
        <v/>
      </c>
      <c r="F332" s="1" t="s">
        <v>110</v>
      </c>
      <c r="G332" s="2" t="b" cm="1">
        <f t="array" ref="G332">_xldudf_XLWINGS_DEV_PARSE_DATES_TRUE(E332:F335)</f>
        <v>1</v>
      </c>
    </row>
    <row r="333" spans="1:7" x14ac:dyDescent="0.2">
      <c r="C333" s="4"/>
      <c r="E333" s="5">
        <v>44197.466099537036</v>
      </c>
      <c r="F333" s="1">
        <v>1</v>
      </c>
    </row>
    <row r="334" spans="1:7" x14ac:dyDescent="0.2">
      <c r="C334" s="4"/>
      <c r="E334" s="5">
        <v>44198.932199074072</v>
      </c>
      <c r="F334" s="1">
        <v>2</v>
      </c>
    </row>
    <row r="335" spans="1:7" x14ac:dyDescent="0.2">
      <c r="C335" s="4"/>
      <c r="E335" s="5">
        <v>44199</v>
      </c>
      <c r="F335" s="1">
        <v>3</v>
      </c>
    </row>
    <row r="337" spans="1:8" x14ac:dyDescent="0.2">
      <c r="A337" t="b">
        <f>AND(H337:H343)</f>
        <v>1</v>
      </c>
      <c r="B337" s="23" t="s">
        <v>116</v>
      </c>
      <c r="G337" s="2" t="e" cm="1">
        <f t="array" ref="G337:G343">_xldudf_XLWINGS_DEV_WRITE_ERROR_CELLS()</f>
        <v>#DIV/0!</v>
      </c>
      <c r="H337" t="b">
        <f>ISERROR(G337)</f>
        <v>1</v>
      </c>
    </row>
    <row r="338" spans="1:8" x14ac:dyDescent="0.2">
      <c r="G338" s="2" t="e">
        <v>#N/A</v>
      </c>
      <c r="H338" t="b">
        <f t="shared" ref="H338:H343" si="60">ISERROR(G338)</f>
        <v>1</v>
      </c>
    </row>
    <row r="339" spans="1:8" x14ac:dyDescent="0.2">
      <c r="G339" s="2" t="e">
        <v>#NAME?</v>
      </c>
      <c r="H339" t="b">
        <f t="shared" si="60"/>
        <v>1</v>
      </c>
    </row>
    <row r="340" spans="1:8" x14ac:dyDescent="0.2">
      <c r="G340" s="2" t="e">
        <v>#NULL!</v>
      </c>
      <c r="H340" t="b">
        <f t="shared" si="60"/>
        <v>1</v>
      </c>
    </row>
    <row r="341" spans="1:8" x14ac:dyDescent="0.2">
      <c r="G341" s="2" t="e">
        <v>#NUM!</v>
      </c>
      <c r="H341" t="b">
        <f t="shared" si="60"/>
        <v>1</v>
      </c>
    </row>
    <row r="342" spans="1:8" x14ac:dyDescent="0.2">
      <c r="G342" s="2" t="e">
        <v>#REF!</v>
      </c>
      <c r="H342" t="b">
        <f t="shared" si="60"/>
        <v>1</v>
      </c>
    </row>
    <row r="343" spans="1:8" x14ac:dyDescent="0.2">
      <c r="G343" s="2" t="e">
        <v>#VALUE!</v>
      </c>
      <c r="H343" t="b">
        <f t="shared" si="60"/>
        <v>1</v>
      </c>
    </row>
    <row r="345" spans="1:8" x14ac:dyDescent="0.2">
      <c r="A345" t="b">
        <f>G345</f>
        <v>1</v>
      </c>
      <c r="B345" s="23" t="s">
        <v>117</v>
      </c>
      <c r="G345" s="2" t="b" cm="1">
        <f t="array" ref="G345">_xldudf_XLWINGS_DEV_READ_ERROR_CELLS(_xlfn.ANCHORARRAY(G337))</f>
        <v>1</v>
      </c>
    </row>
    <row r="347" spans="1:8" x14ac:dyDescent="0.2">
      <c r="A347" t="b">
        <f>G347</f>
        <v>1</v>
      </c>
      <c r="B347" s="23" t="s">
        <v>118</v>
      </c>
      <c r="G347" s="2" t="b" cm="1">
        <f t="array" ref="G347">_xldudf_XLWINGS_DEV_READ_ERROR_CELLS_STR(_xlfn.ANCHORARRAY(G337))</f>
        <v>1</v>
      </c>
    </row>
    <row r="349" spans="1:8" x14ac:dyDescent="0.2">
      <c r="A349" t="b">
        <f>H349</f>
        <v>1</v>
      </c>
      <c r="B349" s="23" t="s">
        <v>119</v>
      </c>
      <c r="E349" s="8" t="s">
        <v>120</v>
      </c>
      <c r="F349" s="4">
        <v>44574</v>
      </c>
      <c r="G349" s="2" cm="1" vm="7">
        <f t="array" ref="G349">_xldudf_XLWINGS_DEV_EXPLICIT_DATE_FORMAT()</f>
        <v>44574</v>
      </c>
      <c r="H349" t="b">
        <f>F349=G349</f>
        <v>1</v>
      </c>
    </row>
    <row r="351" spans="1:8" x14ac:dyDescent="0.2">
      <c r="A351" t="b">
        <f>G351</f>
        <v>1</v>
      </c>
      <c r="B351" s="23" t="s">
        <v>121</v>
      </c>
      <c r="G351" s="2" t="b" cm="1">
        <f t="array" ref="G351">_xldudf_XLWINGS_DEV_NAMESPACE()</f>
        <v>1</v>
      </c>
    </row>
    <row r="353" spans="1:16" x14ac:dyDescent="0.2">
      <c r="A353" t="b">
        <f ca="1">G353</f>
        <v>1</v>
      </c>
      <c r="B353" s="23" t="s">
        <v>122</v>
      </c>
      <c r="G353" s="2" t="b" cm="1">
        <f t="array" aca="1" ref="G353" ca="1">_xldudf_XLWINGS_DEV_VOLATILE()</f>
        <v>1</v>
      </c>
    </row>
    <row r="355" spans="1:16" x14ac:dyDescent="0.2">
      <c r="A355" t="b">
        <f>AND(K355:M358)</f>
        <v>1</v>
      </c>
      <c r="B355" s="23" t="s">
        <v>123</v>
      </c>
      <c r="E355" t="s">
        <v>110</v>
      </c>
      <c r="F355" t="s">
        <v>111</v>
      </c>
      <c r="G355" s="2" t="str" cm="1">
        <f t="array" ref="G355:I358">_xldudf_XLWINGS_DEV_VARARGS_ARG_DECORATOR(E355:F356,E355:F356,E355:F356)</f>
        <v/>
      </c>
      <c r="H355" s="2" t="str">
        <v>one</v>
      </c>
      <c r="I355" s="2" t="str">
        <v>two</v>
      </c>
      <c r="K355" t="b">
        <f>D355=G355</f>
        <v>1</v>
      </c>
      <c r="L355" t="b">
        <f t="shared" ref="L355:M358" si="61">E355=H355</f>
        <v>1</v>
      </c>
      <c r="M355" t="b">
        <f t="shared" si="61"/>
        <v>1</v>
      </c>
    </row>
    <row r="356" spans="1:16" x14ac:dyDescent="0.2">
      <c r="D356">
        <v>0</v>
      </c>
      <c r="E356">
        <v>1</v>
      </c>
      <c r="F356">
        <v>2</v>
      </c>
      <c r="G356" s="2">
        <v>0</v>
      </c>
      <c r="H356" s="2">
        <v>1</v>
      </c>
      <c r="I356" s="2">
        <v>2</v>
      </c>
      <c r="K356" t="b">
        <f t="shared" ref="K356:K358" si="62">D356=G356</f>
        <v>1</v>
      </c>
      <c r="L356" t="b">
        <f t="shared" si="61"/>
        <v>1</v>
      </c>
      <c r="M356" t="b">
        <f t="shared" si="61"/>
        <v>1</v>
      </c>
    </row>
    <row r="357" spans="1:16" x14ac:dyDescent="0.2">
      <c r="D357">
        <v>0</v>
      </c>
      <c r="E357">
        <v>1</v>
      </c>
      <c r="F357">
        <v>2</v>
      </c>
      <c r="G357" s="2">
        <v>0</v>
      </c>
      <c r="H357" s="2">
        <v>1</v>
      </c>
      <c r="I357" s="2">
        <v>2</v>
      </c>
      <c r="K357" t="b">
        <f t="shared" si="62"/>
        <v>1</v>
      </c>
      <c r="L357" t="b">
        <f t="shared" si="61"/>
        <v>1</v>
      </c>
      <c r="M357" t="b">
        <f t="shared" si="61"/>
        <v>1</v>
      </c>
    </row>
    <row r="358" spans="1:16" x14ac:dyDescent="0.2">
      <c r="D358">
        <v>0</v>
      </c>
      <c r="E358">
        <v>1</v>
      </c>
      <c r="F358">
        <v>2</v>
      </c>
      <c r="G358" s="2">
        <v>0</v>
      </c>
      <c r="H358" s="2">
        <v>1</v>
      </c>
      <c r="I358" s="2">
        <v>2</v>
      </c>
      <c r="K358" t="b">
        <f t="shared" si="62"/>
        <v>1</v>
      </c>
      <c r="L358" t="b">
        <f t="shared" si="61"/>
        <v>1</v>
      </c>
      <c r="M358" t="b">
        <f t="shared" si="61"/>
        <v>1</v>
      </c>
    </row>
    <row r="361" spans="1:16" x14ac:dyDescent="0.2">
      <c r="A361" t="b">
        <f>G361</f>
        <v>1</v>
      </c>
      <c r="B361" s="26" t="s">
        <v>127</v>
      </c>
      <c r="C361" s="27"/>
      <c r="D361" s="27"/>
      <c r="E361" s="27"/>
      <c r="F361" s="27">
        <v>2</v>
      </c>
      <c r="G361" s="28" t="b" cm="1">
        <f t="array" ref="G361">_xldudf_XLWINGS_DEV_TYPE_HINTS_ARG_INT(F361)</f>
        <v>1</v>
      </c>
      <c r="H361" s="27"/>
      <c r="I361" s="27"/>
      <c r="J361" s="27"/>
      <c r="K361" s="27"/>
      <c r="L361" s="27"/>
      <c r="M361" s="27"/>
      <c r="N361" s="27"/>
      <c r="O361" s="27"/>
      <c r="P361" s="27"/>
    </row>
    <row r="363" spans="1:16" x14ac:dyDescent="0.2">
      <c r="A363" t="b">
        <f>G363</f>
        <v>1</v>
      </c>
      <c r="B363" s="23" t="s">
        <v>124</v>
      </c>
      <c r="F363">
        <v>2.2000000000000002</v>
      </c>
      <c r="G363" s="2" t="b" cm="1">
        <f t="array" ref="G363">_xldudf_XLWINGS_DEV_TYPE_HINTS_ARG_FLOAT(F363)</f>
        <v>1</v>
      </c>
    </row>
    <row r="365" spans="1:16" x14ac:dyDescent="0.2">
      <c r="A365" t="b">
        <f>G365</f>
        <v>1</v>
      </c>
      <c r="B365" s="23" t="s">
        <v>125</v>
      </c>
      <c r="F365" t="s">
        <v>2</v>
      </c>
      <c r="G365" s="2" t="b" cm="1">
        <f t="array" ref="G365">_xldudf_XLWINGS_DEV_TYPE_HINTS_ARG_STR(F365)</f>
        <v>1</v>
      </c>
    </row>
    <row r="367" spans="1:16" x14ac:dyDescent="0.2">
      <c r="A367" t="b">
        <f>G367</f>
        <v>1</v>
      </c>
      <c r="B367" s="23" t="s">
        <v>126</v>
      </c>
      <c r="F367" t="b">
        <v>1</v>
      </c>
      <c r="G367" s="2" t="b" cm="1">
        <f t="array" ref="G367">_xldudf_XLWINGS_DEV_TYPE_HINTS_ARG_BOOL(F367)</f>
        <v>1</v>
      </c>
    </row>
    <row r="368" spans="1:16" x14ac:dyDescent="0.2">
      <c r="B368" s="23"/>
    </row>
    <row r="369" spans="1:7" x14ac:dyDescent="0.2">
      <c r="A369" t="b">
        <f>G369</f>
        <v>1</v>
      </c>
      <c r="B369" s="23" t="s">
        <v>128</v>
      </c>
      <c r="F369" s="4">
        <v>44185</v>
      </c>
      <c r="G369" s="2" t="b" cm="1">
        <f t="array" ref="G369">_xldudf_XLWINGS_DEV_TYPE_HINTS_ARG_DATETIME(F369)</f>
        <v>1</v>
      </c>
    </row>
    <row r="371" spans="1:7" x14ac:dyDescent="0.2">
      <c r="A371" t="b">
        <f>G371</f>
        <v>1</v>
      </c>
      <c r="B371" s="23" t="s">
        <v>134</v>
      </c>
      <c r="E371">
        <v>1</v>
      </c>
      <c r="F371">
        <v>2</v>
      </c>
      <c r="G371" s="2" t="b" cm="1">
        <f t="array" ref="G371">_xldudf_XLWINGS_DEV_TYPE_HINTS_ARG_LIST(E371:F371)</f>
        <v>1</v>
      </c>
    </row>
    <row r="373" spans="1:7" x14ac:dyDescent="0.2">
      <c r="A373" t="b">
        <f>G373</f>
        <v>1</v>
      </c>
      <c r="B373" s="23" t="s">
        <v>135</v>
      </c>
      <c r="E373">
        <v>1</v>
      </c>
      <c r="F373">
        <v>2</v>
      </c>
      <c r="G373" s="2" t="b" cm="1">
        <f t="array" ref="G373">_xldudf_XLWINGS_DEV_TYPE_HINTS_ARG_LIST_INT(E373:F373)</f>
        <v>1</v>
      </c>
    </row>
    <row r="375" spans="1:7" x14ac:dyDescent="0.2">
      <c r="A375" t="b">
        <f>G375</f>
        <v>1</v>
      </c>
      <c r="B375" s="23" t="s">
        <v>136</v>
      </c>
      <c r="E375">
        <v>1</v>
      </c>
      <c r="F375">
        <v>2</v>
      </c>
      <c r="G375" s="2" t="b" cm="1">
        <f t="array" ref="G375">_xldudf_XLWINGS_DEV_TYPE_HINTS_ARG_LIST_LIST_INT(E375:F376)</f>
        <v>1</v>
      </c>
    </row>
    <row r="376" spans="1:7" x14ac:dyDescent="0.2">
      <c r="E376">
        <v>3</v>
      </c>
      <c r="F376">
        <v>4</v>
      </c>
    </row>
    <row r="378" spans="1:7" x14ac:dyDescent="0.2">
      <c r="A378" t="b">
        <f>G378</f>
        <v>1</v>
      </c>
      <c r="B378" s="23" t="s">
        <v>137</v>
      </c>
      <c r="E378" t="s">
        <v>50</v>
      </c>
      <c r="F378">
        <v>1</v>
      </c>
      <c r="G378" s="2" t="b" cm="1">
        <f t="array" ref="G378">_xldudf_XLWINGS_DEV_TYPE_HINTS_ARG_DICT(E378:F378)</f>
        <v>1</v>
      </c>
    </row>
    <row r="380" spans="1:7" x14ac:dyDescent="0.2">
      <c r="A380" t="b">
        <f>G380</f>
        <v>1</v>
      </c>
      <c r="B380" s="23" t="s">
        <v>138</v>
      </c>
      <c r="E380">
        <v>1</v>
      </c>
      <c r="F380">
        <v>2</v>
      </c>
      <c r="G380" s="2" t="b" cm="1">
        <f t="array" ref="G380">_xldudf_XLWINGS_DEV_TYPE_HINTS_ARG_ARRAY(E380:F381)</f>
        <v>1</v>
      </c>
    </row>
    <row r="381" spans="1:7" x14ac:dyDescent="0.2">
      <c r="E381">
        <v>3</v>
      </c>
      <c r="F381">
        <v>4</v>
      </c>
    </row>
    <row r="383" spans="1:7" x14ac:dyDescent="0.2">
      <c r="A383" t="b">
        <f>G383</f>
        <v>1</v>
      </c>
      <c r="B383" s="23" t="s">
        <v>139</v>
      </c>
      <c r="E383">
        <v>1</v>
      </c>
      <c r="F383">
        <v>2</v>
      </c>
      <c r="G383" s="2" t="b" cm="1">
        <f t="array" ref="G383">_xldudf_XLWINGS_DEV_TYPE_HINTS_ARG_NDARRAY(E383:F384)</f>
        <v>1</v>
      </c>
    </row>
    <row r="384" spans="1:7" x14ac:dyDescent="0.2">
      <c r="E384">
        <v>3</v>
      </c>
      <c r="F384">
        <v>4</v>
      </c>
    </row>
    <row r="386" spans="1:11" x14ac:dyDescent="0.2">
      <c r="A386" t="b">
        <f>G386</f>
        <v>1</v>
      </c>
      <c r="B386" s="23" t="s">
        <v>129</v>
      </c>
      <c r="E386" t="s">
        <v>110</v>
      </c>
      <c r="F386" t="s">
        <v>111</v>
      </c>
      <c r="G386" s="2" t="b" cm="1">
        <f t="array" ref="G386">_xldudf_XLWINGS_DEV_TYPE_HINTS_ARG_DF(D386:F388)</f>
        <v>1</v>
      </c>
    </row>
    <row r="387" spans="1:11" x14ac:dyDescent="0.2">
      <c r="D387">
        <v>0</v>
      </c>
      <c r="E387">
        <v>1</v>
      </c>
      <c r="F387">
        <v>2</v>
      </c>
    </row>
    <row r="388" spans="1:11" x14ac:dyDescent="0.2">
      <c r="D388">
        <v>1</v>
      </c>
      <c r="E388">
        <v>3</v>
      </c>
      <c r="F388">
        <v>4</v>
      </c>
    </row>
    <row r="390" spans="1:11" x14ac:dyDescent="0.2">
      <c r="A390" t="b">
        <f>G390</f>
        <v>1</v>
      </c>
      <c r="B390" s="23" t="s">
        <v>130</v>
      </c>
      <c r="E390" t="s">
        <v>110</v>
      </c>
      <c r="F390" t="s">
        <v>111</v>
      </c>
      <c r="G390" s="2" t="b" cm="1">
        <f t="array" ref="G390">_xldudf_XLWINGS_DEV_TYPE_HINTS_ARG_DF_ANNOTATED(D390:F392)</f>
        <v>1</v>
      </c>
    </row>
    <row r="391" spans="1:11" x14ac:dyDescent="0.2">
      <c r="D391">
        <v>0</v>
      </c>
      <c r="E391">
        <v>1</v>
      </c>
      <c r="F391">
        <v>2</v>
      </c>
    </row>
    <row r="392" spans="1:11" x14ac:dyDescent="0.2">
      <c r="D392">
        <v>1</v>
      </c>
      <c r="E392">
        <v>3</v>
      </c>
      <c r="F392">
        <v>4</v>
      </c>
    </row>
    <row r="394" spans="1:11" x14ac:dyDescent="0.2">
      <c r="A394" t="b">
        <f>AND(_xlfn.ANCHORARRAY(J394))</f>
        <v>1</v>
      </c>
      <c r="B394" s="23" t="s">
        <v>131</v>
      </c>
      <c r="E394" t="s">
        <v>110</v>
      </c>
      <c r="F394" t="s">
        <v>111</v>
      </c>
      <c r="G394" s="2" t="str" cm="1">
        <f t="array" ref="G394:H396">_xldudf_XLWINGS_DEV_TYPE_HINTS_RET_DF_ANNOTATED()</f>
        <v>one</v>
      </c>
      <c r="H394" s="2" t="str">
        <v>two</v>
      </c>
      <c r="J394" t="b" cm="1">
        <f t="array" ref="J394:K396">_xlfn.ANCHORARRAY(G394)=E394:F396</f>
        <v>1</v>
      </c>
      <c r="K394" t="b">
        <v>1</v>
      </c>
    </row>
    <row r="395" spans="1:11" x14ac:dyDescent="0.2">
      <c r="E395">
        <v>1</v>
      </c>
      <c r="F395">
        <v>2</v>
      </c>
      <c r="G395" s="2">
        <v>1</v>
      </c>
      <c r="H395" s="2">
        <v>2</v>
      </c>
      <c r="J395" t="b">
        <v>1</v>
      </c>
      <c r="K395" t="b">
        <v>1</v>
      </c>
    </row>
    <row r="396" spans="1:11" x14ac:dyDescent="0.2">
      <c r="E396">
        <v>3</v>
      </c>
      <c r="F396">
        <v>4</v>
      </c>
      <c r="G396" s="2">
        <v>3</v>
      </c>
      <c r="H396" s="2">
        <v>4</v>
      </c>
      <c r="J396" t="b">
        <v>1</v>
      </c>
      <c r="K396" t="b">
        <v>1</v>
      </c>
    </row>
    <row r="398" spans="1:11" x14ac:dyDescent="0.2">
      <c r="A398" t="b">
        <f>AND(_xlfn.ANCHORARRAY(J398))</f>
        <v>1</v>
      </c>
      <c r="B398" s="23" t="s">
        <v>132</v>
      </c>
      <c r="E398" t="s">
        <v>110</v>
      </c>
      <c r="F398" t="s">
        <v>111</v>
      </c>
      <c r="G398" s="2" t="str" cm="1">
        <f t="array" ref="G398:H400">_xldudf_XLWINGS_DEV_TYPE_HINTS_RET_DF_DECORATOR_OVERRIDE()</f>
        <v>one</v>
      </c>
      <c r="H398" s="2" t="str">
        <v>two</v>
      </c>
      <c r="J398" t="b" cm="1">
        <f t="array" ref="J398:K400">_xlfn.ANCHORARRAY(G398)=E398:F400</f>
        <v>1</v>
      </c>
      <c r="K398" t="b">
        <v>1</v>
      </c>
    </row>
    <row r="399" spans="1:11" x14ac:dyDescent="0.2">
      <c r="E399">
        <v>1</v>
      </c>
      <c r="F399">
        <v>2</v>
      </c>
      <c r="G399" s="2">
        <v>1</v>
      </c>
      <c r="H399" s="2">
        <v>2</v>
      </c>
      <c r="J399" t="b">
        <v>1</v>
      </c>
      <c r="K399" t="b">
        <v>1</v>
      </c>
    </row>
    <row r="400" spans="1:11" x14ac:dyDescent="0.2">
      <c r="E400">
        <v>3</v>
      </c>
      <c r="F400">
        <v>4</v>
      </c>
      <c r="G400" s="2">
        <v>3</v>
      </c>
      <c r="H400" s="2">
        <v>4</v>
      </c>
      <c r="J400" t="b">
        <v>1</v>
      </c>
      <c r="K400" t="b">
        <v>1</v>
      </c>
    </row>
    <row r="402" spans="1:7" x14ac:dyDescent="0.2">
      <c r="A402" t="b">
        <f>G402</f>
        <v>1</v>
      </c>
      <c r="B402" s="23" t="s">
        <v>133</v>
      </c>
      <c r="E402" t="s">
        <v>110</v>
      </c>
      <c r="F402" t="s">
        <v>111</v>
      </c>
      <c r="G402" s="2" t="b" cm="1">
        <f t="array" ref="G402">_xldudf_XLWINGS_DEV_TYPE_HINTS_ARG_DF_DECORATOR_COEXISTENCE(D402:F404)</f>
        <v>1</v>
      </c>
    </row>
    <row r="403" spans="1:7" x14ac:dyDescent="0.2">
      <c r="D403">
        <v>0</v>
      </c>
      <c r="E403">
        <v>1</v>
      </c>
      <c r="F403">
        <v>2</v>
      </c>
    </row>
    <row r="404" spans="1:7" x14ac:dyDescent="0.2">
      <c r="D404">
        <v>1</v>
      </c>
      <c r="E404">
        <v>3</v>
      </c>
      <c r="F404">
        <v>4</v>
      </c>
    </row>
    <row r="406" spans="1:7" x14ac:dyDescent="0.2">
      <c r="A406" t="b">
        <f>G406</f>
        <v>1</v>
      </c>
      <c r="B406" s="23" t="s">
        <v>141</v>
      </c>
      <c r="F406" t="e" cm="1" vm="8">
        <f t="array" ref="F406">_xldudf_XLWINGS_DEV_GET_DF()</f>
        <v>#VALUE!</v>
      </c>
      <c r="G406" s="2" t="b" cm="1">
        <f t="array" ref="G406">_xldudf_XLWINGS_DEV_VARARGS_WITH_OBJECT_HANDLES(10, F406, F407)</f>
        <v>1</v>
      </c>
    </row>
    <row r="407" spans="1:7" x14ac:dyDescent="0.2">
      <c r="F407" t="e" cm="1" vm="9">
        <f t="array" ref="F407">_xldudf_XLWINGS_DEV_GET_DF()</f>
        <v>#VALUE!</v>
      </c>
    </row>
    <row r="409" spans="1:7" x14ac:dyDescent="0.2">
      <c r="A409" t="b">
        <f>G409</f>
        <v>1</v>
      </c>
      <c r="B409" s="23" t="s">
        <v>142</v>
      </c>
      <c r="F409" t="e" cm="1" vm="10">
        <f t="array" ref="F409">_xldudf_XLWINGS_DEV_REQUIRED_ROLES()</f>
        <v>#VALUE!</v>
      </c>
      <c r="G409" s="2" t="b">
        <f>ISERROR(F409)</f>
        <v>1</v>
      </c>
    </row>
    <row r="412" spans="1:7" x14ac:dyDescent="0.2">
      <c r="A412" t="b">
        <f>G412</f>
        <v>1</v>
      </c>
      <c r="B412" s="23" t="s">
        <v>143</v>
      </c>
      <c r="F412" t="str" cm="1">
        <f t="array" ref="F412">_xldudf_XLWINGS_DEV_READ_CACHE(_xldudf_XLWINGS_DEV_WRITE_CACHE("A"), _xldudf_XLWINGS_DEV_WRITE_CACHE("B"))</f>
        <v>SUCCESS</v>
      </c>
      <c r="G412" s="2" t="b">
        <f>F412="SUCCESS"</f>
        <v>1</v>
      </c>
    </row>
  </sheetData>
  <conditionalFormatting sqref="A3:A97 A99:A170 A172:A283 A285 A289:A290 A298 A302 A306 A309 A312:A313 A317 A319:A360 A362 A366 A370 A372 A374 A376:A377 A379 A381:A382 A384:A385 A405:A1048576">
    <cfRule type="containsErrors" dxfId="3" priority="19">
      <formula>ISERROR(A3)</formula>
    </cfRule>
  </conditionalFormatting>
  <conditionalFormatting sqref="A3:A170">
    <cfRule type="containsText" dxfId="2" priority="2" operator="containsText" text="FALSE">
      <formula>NOT(ISERROR(SEARCH("FALSE",A3)))</formula>
    </cfRule>
  </conditionalFormatting>
  <conditionalFormatting sqref="A172:A1048576">
    <cfRule type="containsText" dxfId="1" priority="1" operator="containsText" text="FALSE">
      <formula>NOT(ISERROR(SEARCH("FALSE",A172)))</formula>
    </cfRule>
  </conditionalFormatting>
  <conditionalFormatting sqref="B3">
    <cfRule type="cellIs" dxfId="0" priority="18" operator="greaterThan">
      <formula>0</formula>
    </cfRule>
  </conditionalFormatting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Felix Zumstein</cp:lastModifiedBy>
  <dcterms:created xsi:type="dcterms:W3CDTF">2015-01-25T11:31:25Z</dcterms:created>
  <dcterms:modified xsi:type="dcterms:W3CDTF">2026-06-15T12:27:21Z</dcterms:modified>
</cp:coreProperties>
</file>